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3" sheetId="1" state="visible" r:id="rId3"/>
    <sheet name="Sheet2" sheetId="2" state="visible" r:id="rId4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<sst xmlns="http://schemas.openxmlformats.org/spreadsheetml/2006/main" count="1503" uniqueCount="87">
  <si>
    <t xml:space="preserve">Index</t>
  </si>
  <si>
    <t xml:space="preserve">Manufacturing_Date </t>
  </si>
  <si>
    <t xml:space="preserve">Product_Type </t>
  </si>
  <si>
    <t xml:space="preserve">Replicate_Number </t>
  </si>
  <si>
    <t xml:space="preserve">Sample</t>
  </si>
  <si>
    <t xml:space="preserve">Action</t>
  </si>
  <si>
    <t xml:space="preserve">texp (s)</t>
  </si>
  <si>
    <t xml:space="preserve">t (s)</t>
  </si>
  <si>
    <t xml:space="preserve">T (°C)</t>
  </si>
  <si>
    <t xml:space="preserve">f (Hz)</t>
  </si>
  <si>
    <t xml:space="preserve">γ* (%)</t>
  </si>
  <si>
    <t xml:space="preserve">σ* (Pa)</t>
  </si>
  <si>
    <t xml:space="preserve">G* (Pa)</t>
  </si>
  <si>
    <t xml:space="preserve">G' (Pa)</t>
  </si>
  <si>
    <t xml:space="preserve">G" (Pa)</t>
  </si>
  <si>
    <t xml:space="preserve">η* (Pa s)</t>
  </si>
  <si>
    <t xml:space="preserve">δ (°)</t>
  </si>
  <si>
    <t xml:space="preserve">F (N)</t>
  </si>
  <si>
    <t xml:space="preserve">g (mm)</t>
  </si>
  <si>
    <t xml:space="preserve">τ (N m)</t>
  </si>
  <si>
    <t xml:space="preserve">θ (rad)</t>
  </si>
  <si>
    <t xml:space="preserve">Notes</t>
  </si>
  <si>
    <t xml:space="preserve">S4</t>
  </si>
  <si>
    <t xml:space="preserve">Oszillationsamplituden-Tabelle</t>
  </si>
  <si>
    <t xml:space="preserve">S4.1</t>
  </si>
  <si>
    <t xml:space="preserve">S4.2</t>
  </si>
  <si>
    <t xml:space="preserve">24.07.2025</t>
  </si>
  <si>
    <t xml:space="preserve">S2 </t>
  </si>
  <si>
    <t xml:space="preserve">S2.1 </t>
  </si>
  <si>
    <t xml:space="preserve">S2.2 </t>
  </si>
  <si>
    <t xml:space="preserve">01.11.2024</t>
  </si>
  <si>
    <t xml:space="preserve">S1 </t>
  </si>
  <si>
    <t xml:space="preserve">S1.1 </t>
  </si>
  <si>
    <t xml:space="preserve">S1.2 </t>
  </si>
  <si>
    <t xml:space="preserve">04.12.2025</t>
  </si>
  <si>
    <t xml:space="preserve">Spritz</t>
  </si>
  <si>
    <t xml:space="preserve">S5 </t>
  </si>
  <si>
    <t xml:space="preserve">S5.1 </t>
  </si>
  <si>
    <t xml:space="preserve">S5.2 </t>
  </si>
  <si>
    <t xml:space="preserve">14.04.2025</t>
  </si>
  <si>
    <t xml:space="preserve">S3 </t>
  </si>
  <si>
    <t xml:space="preserve">S3.1 </t>
  </si>
  <si>
    <t xml:space="preserve">S3.2 </t>
  </si>
  <si>
    <t xml:space="preserve">metadata</t>
  </si>
  <si>
    <t xml:space="preserve">Sample_ID</t>
  </si>
  <si>
    <t xml:space="preserve">Original_Sample</t>
  </si>
  <si>
    <t xml:space="preserve">Manufacturing_Date</t>
  </si>
  <si>
    <t xml:space="preserve">Product_Type</t>
  </si>
  <si>
    <t xml:space="preserve">Replicate_Number</t>
  </si>
  <si>
    <t xml:space="preserve">S5 (Sample 2) = Spritz product.</t>
  </si>
  <si>
    <t xml:space="preserve">S1</t>
  </si>
  <si>
    <t xml:space="preserve">Sample 4</t>
  </si>
  <si>
    <t xml:space="preserve">Standard</t>
  </si>
  <si>
    <t xml:space="preserve">Original sample</t>
  </si>
  <si>
    <t xml:space="preserve">S5 = First measurement</t>
  </si>
  <si>
    <t xml:space="preserve">S1.1</t>
  </si>
  <si>
    <t xml:space="preserve">Sample 4-1</t>
  </si>
  <si>
    <t xml:space="preserve">Replicate 1</t>
  </si>
  <si>
    <t xml:space="preserve">S5.1 = Second measurement</t>
  </si>
  <si>
    <t xml:space="preserve">S1.2</t>
  </si>
  <si>
    <t xml:space="preserve">Sample 4-2</t>
  </si>
  <si>
    <t xml:space="preserve">Replicate 2</t>
  </si>
  <si>
    <t xml:space="preserve">S5.2 = Third measurement</t>
  </si>
  <si>
    <t xml:space="preserve">S2</t>
  </si>
  <si>
    <t xml:space="preserve">Sample 5</t>
  </si>
  <si>
    <t xml:space="preserve">S2.1</t>
  </si>
  <si>
    <t xml:space="preserve">Sample 5-1</t>
  </si>
  <si>
    <t xml:space="preserve">S2.2</t>
  </si>
  <si>
    <t xml:space="preserve">Sample 5-2</t>
  </si>
  <si>
    <t xml:space="preserve">S3</t>
  </si>
  <si>
    <t xml:space="preserve">Sample 9</t>
  </si>
  <si>
    <t xml:space="preserve">S3.1</t>
  </si>
  <si>
    <t xml:space="preserve">Sample 9-1</t>
  </si>
  <si>
    <t xml:space="preserve">S3.2</t>
  </si>
  <si>
    <t xml:space="preserve">Sample 9-2</t>
  </si>
  <si>
    <t xml:space="preserve">Sample 16</t>
  </si>
  <si>
    <t xml:space="preserve">Sample 16-1</t>
  </si>
  <si>
    <t xml:space="preserve">Sample 16-2</t>
  </si>
  <si>
    <t xml:space="preserve">S5</t>
  </si>
  <si>
    <t xml:space="preserve">Sample 2</t>
  </si>
  <si>
    <t xml:space="preserve">First measurement</t>
  </si>
  <si>
    <t xml:space="preserve">S5.1</t>
  </si>
  <si>
    <t xml:space="preserve">Sample 2-1</t>
  </si>
  <si>
    <t xml:space="preserve">Second measurement</t>
  </si>
  <si>
    <t xml:space="preserve">S5.2</t>
  </si>
  <si>
    <t xml:space="preserve">Sample 2-2</t>
  </si>
  <si>
    <t xml:space="preserve">Third measurement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</si>
</sst>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0E+00"/>
  </numFmts>
  <fonts count="6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Times New Roman"/>
      <family val="1"/>
      <charset val="1"/>
    </font>
    <font>
      <b val="true"/>
      <sz val="10"/>
      <name val="Times New Roman"/>
      <family val="1"/>
      <charset val="1"/>
    </font>
  </fonts>
  <fills count="3">
    <fill>
      <patternFill patternType="none"/>
    </fill>
    <fill>
      <patternFill patternType="gray125"/>
    </fill>
    <fill>
      <patternFill patternType="solid">
        <fgColor rgb="FFDDE8CB"/>
        <bgColor rgb="FFFFFFCC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left" vertical="bottom" textRotation="0" wrapText="false" indent="0" shrinkToFit="false"/>
      <protection locked="true" hidden="false"/>
    </xf>
    <xf numFmtId="164" fontId="0" fillId="2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left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left" vertical="bottom" textRotation="0" wrapText="true" indent="0" shrinkToFit="false"/>
      <protection locked="true" hidden="false"/>
    </xf>
    <xf numFmtId="164" fontId="4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center" vertical="bottom" textRotation="0" wrapText="tru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DE8CB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XFD46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S1" activeCellId="0" sqref="S1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1" width="7.04"/>
    <col collapsed="false" customWidth="true" hidden="false" outlineLevel="0" max="2" min="2" style="1" width="17.13"/>
    <col collapsed="false" customWidth="false" hidden="false" outlineLevel="0" max="3" min="3" style="1" width="11.53"/>
    <col collapsed="false" customWidth="true" hidden="false" outlineLevel="0" max="4" min="4" style="1" width="14.96"/>
    <col collapsed="false" customWidth="false" hidden="false" outlineLevel="0" max="5" min="5" style="1" width="11.53"/>
    <col collapsed="false" customWidth="true" hidden="false" outlineLevel="0" max="6" min="6" style="1" width="26.34"/>
    <col collapsed="false" customWidth="false" hidden="false" outlineLevel="0" max="16380" min="7" style="1" width="11.53"/>
    <col collapsed="false" customWidth="false" hidden="false" outlineLevel="0" max="16384" min="16384" style="1" width="11.53"/>
  </cols>
  <sheetData>
    <row r="1" s="2" customFormat="true" ht="12.8" hidden="false" customHeight="false" outlineLevel="0" collapsed="false">
      <c r="A1" s="2" t="s">
        <v>0</v>
      </c>
      <c r="B1" s="3" t="s">
        <v>1</v>
      </c>
      <c r="C1" s="3" t="s">
        <v>2</v>
      </c>
      <c r="D1" s="3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n">
        <v>4.255</v>
      </c>
      <c r="W1" s="2" t="s">
        <v>21</v>
      </c>
      <c r="XFA1" s="0"/>
      <c r="XFB1" s="0"/>
      <c r="XFC1" s="0"/>
      <c r="XFD1" s="1"/>
    </row>
    <row r="2" customFormat="false" ht="12.8" hidden="false" customHeight="false" outlineLevel="0" collapsed="false">
      <c r="A2" s="1" t="n">
        <v>1</v>
      </c>
      <c r="B2" s="4" t="str">
        <f aca="false">IF(LEFT(E2,2)="S1","01.11.2024",IF(LEFT(E2,2)="S2","24.07.2025",IF(LEFT(E2,2)="S3","14.04.2025",IF(LEFT(E2,2)="S4","04.12.2025","04.12.2025"))))</f>
        <v>04.12.2025</v>
      </c>
      <c r="C2" s="4" t="str">
        <f aca="false">IF(LEFT(E2,2)="S5","Spritz","Standard")</f>
        <v>Standard</v>
      </c>
      <c r="D2" s="4" t="n">
        <f aca="false">IF(RIGHT(E2,2)=".1",1,IF(RIGHT(E2,2)=".2",2,0))</f>
        <v>0</v>
      </c>
      <c r="E2" s="4" t="s">
        <v>22</v>
      </c>
      <c r="F2" s="1" t="s">
        <v>23</v>
      </c>
      <c r="G2" s="1" t="n">
        <v>43.61</v>
      </c>
      <c r="H2" s="1" t="n">
        <v>25</v>
      </c>
      <c r="I2" s="1" t="n">
        <v>23.04</v>
      </c>
      <c r="J2" s="1" t="n">
        <v>1</v>
      </c>
      <c r="K2" s="1" t="n">
        <v>0.0102591</v>
      </c>
      <c r="L2" s="5" t="n">
        <v>0.001524</v>
      </c>
      <c r="M2" s="1" t="n">
        <v>14.85</v>
      </c>
      <c r="N2" s="1" t="n">
        <v>14.62</v>
      </c>
      <c r="O2" s="1" t="n">
        <v>2.584</v>
      </c>
      <c r="P2" s="1" t="n">
        <v>2.364</v>
      </c>
      <c r="Q2" s="1" t="n">
        <v>10.02</v>
      </c>
      <c r="R2" s="1" t="n">
        <v>-0.04675</v>
      </c>
      <c r="S2" s="1" t="n">
        <v>0.5</v>
      </c>
      <c r="T2" s="5" t="n">
        <v>2.552E-008</v>
      </c>
      <c r="U2" s="5" t="n">
        <v>3.42E-006</v>
      </c>
      <c r="V2" s="1" t="n">
        <v>2.887</v>
      </c>
    </row>
    <row r="3" customFormat="false" ht="12.8" hidden="false" customHeight="false" outlineLevel="0" collapsed="false">
      <c r="A3" s="1" t="n">
        <v>2</v>
      </c>
      <c r="B3" s="4" t="str">
        <f aca="false">IF(LEFT(E3,2)="S1","01.11.2024",IF(LEFT(E3,2)="S2","24.07.2025",IF(LEFT(E3,2)="S3","14.04.2025",IF(LEFT(E3,2)="S4","04.12.2025","04.12.2025"))))</f>
        <v>04.12.2025</v>
      </c>
      <c r="C3" s="4" t="str">
        <f aca="false">IF(LEFT(E3,2)="S5","Spritz","Standard")</f>
        <v>Standard</v>
      </c>
      <c r="D3" s="4" t="n">
        <f aca="false">IF(RIGHT(E3,2)=".1",1,IF(RIGHT(E3,2)=".2",2,0))</f>
        <v>0</v>
      </c>
      <c r="E3" s="4" t="s">
        <v>22</v>
      </c>
      <c r="F3" s="1" t="s">
        <v>23</v>
      </c>
      <c r="G3" s="1" t="n">
        <v>68.62</v>
      </c>
      <c r="H3" s="1" t="n">
        <v>50.01</v>
      </c>
      <c r="I3" s="1" t="n">
        <v>23.03</v>
      </c>
      <c r="J3" s="1" t="n">
        <v>1</v>
      </c>
      <c r="K3" s="1" t="n">
        <v>0.0123788</v>
      </c>
      <c r="L3" s="5" t="n">
        <v>0.001844</v>
      </c>
      <c r="M3" s="1" t="n">
        <v>14.9</v>
      </c>
      <c r="N3" s="1" t="n">
        <v>14.6</v>
      </c>
      <c r="O3" s="1" t="n">
        <v>2.95</v>
      </c>
      <c r="P3" s="1" t="n">
        <v>2.371</v>
      </c>
      <c r="Q3" s="1" t="n">
        <v>11.42</v>
      </c>
      <c r="R3" s="1" t="n">
        <v>-0.04611</v>
      </c>
      <c r="S3" s="1" t="n">
        <v>0.5</v>
      </c>
      <c r="T3" s="5" t="n">
        <v>3.089E-008</v>
      </c>
      <c r="U3" s="5" t="n">
        <v>4.126E-006</v>
      </c>
      <c r="V3" s="1" t="n">
        <v>3.968</v>
      </c>
    </row>
    <row r="4" customFormat="false" ht="12.8" hidden="false" customHeight="false" outlineLevel="0" collapsed="false">
      <c r="A4" s="1" t="n">
        <v>3</v>
      </c>
      <c r="B4" s="4" t="str">
        <f aca="false">IF(LEFT(E4,2)="S1","01.11.2024",IF(LEFT(E4,2)="S2","24.07.2025",IF(LEFT(E4,2)="S3","14.04.2025",IF(LEFT(E4,2)="S4","04.12.2025","04.12.2025"))))</f>
        <v>04.12.2025</v>
      </c>
      <c r="C4" s="4" t="str">
        <f aca="false">IF(LEFT(E4,2)="S5","Spritz","Standard")</f>
        <v>Standard</v>
      </c>
      <c r="D4" s="4" t="n">
        <f aca="false">IF(RIGHT(E4,2)=".1",1,IF(RIGHT(E4,2)=".2",2,0))</f>
        <v>0</v>
      </c>
      <c r="E4" s="4" t="s">
        <v>22</v>
      </c>
      <c r="F4" s="1" t="s">
        <v>23</v>
      </c>
      <c r="G4" s="1" t="n">
        <v>93.63</v>
      </c>
      <c r="H4" s="1" t="n">
        <v>75.02</v>
      </c>
      <c r="I4" s="1" t="n">
        <v>23.02</v>
      </c>
      <c r="J4" s="1" t="n">
        <v>1</v>
      </c>
      <c r="K4" s="1" t="n">
        <v>0.0168258</v>
      </c>
      <c r="L4" s="5" t="n">
        <v>0.002513</v>
      </c>
      <c r="M4" s="1" t="n">
        <v>14.94</v>
      </c>
      <c r="N4" s="1" t="n">
        <v>14.73</v>
      </c>
      <c r="O4" s="1" t="n">
        <v>2.463</v>
      </c>
      <c r="P4" s="1" t="n">
        <v>2.377</v>
      </c>
      <c r="Q4" s="1" t="n">
        <v>9.49</v>
      </c>
      <c r="R4" s="1" t="n">
        <v>-0.04553</v>
      </c>
      <c r="S4" s="1" t="n">
        <v>0.5</v>
      </c>
      <c r="T4" s="5" t="n">
        <v>4.21E-008</v>
      </c>
      <c r="U4" s="5" t="n">
        <v>5.609E-006</v>
      </c>
      <c r="V4" s="1" t="n">
        <v>1.956</v>
      </c>
    </row>
    <row r="5" customFormat="false" ht="12.8" hidden="false" customHeight="false" outlineLevel="0" collapsed="false">
      <c r="A5" s="1" t="n">
        <v>4</v>
      </c>
      <c r="B5" s="4" t="str">
        <f aca="false">IF(LEFT(E5,2)="S1","01.11.2024",IF(LEFT(E5,2)="S2","24.07.2025",IF(LEFT(E5,2)="S3","14.04.2025",IF(LEFT(E5,2)="S4","04.12.2025","04.12.2025"))))</f>
        <v>04.12.2025</v>
      </c>
      <c r="C5" s="4" t="str">
        <f aca="false">IF(LEFT(E5,2)="S5","Spritz","Standard")</f>
        <v>Standard</v>
      </c>
      <c r="D5" s="4" t="n">
        <f aca="false">IF(RIGHT(E5,2)=".1",1,IF(RIGHT(E5,2)=".2",2,0))</f>
        <v>0</v>
      </c>
      <c r="E5" s="4" t="s">
        <v>22</v>
      </c>
      <c r="F5" s="1" t="s">
        <v>23</v>
      </c>
      <c r="G5" s="1" t="n">
        <v>118.6</v>
      </c>
      <c r="H5" s="1" t="n">
        <v>100</v>
      </c>
      <c r="I5" s="1" t="n">
        <v>23.02</v>
      </c>
      <c r="J5" s="1" t="n">
        <v>1</v>
      </c>
      <c r="K5" s="1" t="n">
        <v>0.0189552</v>
      </c>
      <c r="L5" s="5" t="n">
        <v>0.002806</v>
      </c>
      <c r="M5" s="1" t="n">
        <v>14.81</v>
      </c>
      <c r="N5" s="1" t="n">
        <v>14.61</v>
      </c>
      <c r="O5" s="1" t="n">
        <v>2.402</v>
      </c>
      <c r="P5" s="1" t="n">
        <v>2.356</v>
      </c>
      <c r="Q5" s="1" t="n">
        <v>9.34</v>
      </c>
      <c r="R5" s="1" t="n">
        <v>-0.04615</v>
      </c>
      <c r="S5" s="1" t="n">
        <v>0.5</v>
      </c>
      <c r="T5" s="5" t="n">
        <v>4.701E-008</v>
      </c>
      <c r="U5" s="5" t="n">
        <v>6.319E-006</v>
      </c>
      <c r="V5" s="1" t="n">
        <v>3.655</v>
      </c>
    </row>
    <row r="6" customFormat="false" ht="12.8" hidden="false" customHeight="false" outlineLevel="0" collapsed="false">
      <c r="A6" s="1" t="n">
        <v>5</v>
      </c>
      <c r="B6" s="4" t="str">
        <f aca="false">IF(LEFT(E6,2)="S1","01.11.2024",IF(LEFT(E6,2)="S2","24.07.2025",IF(LEFT(E6,2)="S3","14.04.2025",IF(LEFT(E6,2)="S4","04.12.2025","04.12.2025"))))</f>
        <v>04.12.2025</v>
      </c>
      <c r="C6" s="4" t="str">
        <f aca="false">IF(LEFT(E6,2)="S5","Spritz","Standard")</f>
        <v>Standard</v>
      </c>
      <c r="D6" s="4" t="n">
        <f aca="false">IF(RIGHT(E6,2)=".1",1,IF(RIGHT(E6,2)=".2",2,0))</f>
        <v>0</v>
      </c>
      <c r="E6" s="4" t="s">
        <v>22</v>
      </c>
      <c r="F6" s="1" t="s">
        <v>23</v>
      </c>
      <c r="G6" s="1" t="n">
        <v>143.7</v>
      </c>
      <c r="H6" s="1" t="n">
        <v>125.1</v>
      </c>
      <c r="I6" s="1" t="n">
        <v>23.02</v>
      </c>
      <c r="J6" s="1" t="n">
        <v>1</v>
      </c>
      <c r="K6" s="1" t="n">
        <v>0.0254594</v>
      </c>
      <c r="L6" s="5" t="n">
        <v>0.003783</v>
      </c>
      <c r="M6" s="1" t="n">
        <v>14.86</v>
      </c>
      <c r="N6" s="1" t="n">
        <v>14.62</v>
      </c>
      <c r="O6" s="1" t="n">
        <v>2.667</v>
      </c>
      <c r="P6" s="1" t="n">
        <v>2.365</v>
      </c>
      <c r="Q6" s="1" t="n">
        <v>10.34</v>
      </c>
      <c r="R6" s="1" t="n">
        <v>-0.04556</v>
      </c>
      <c r="S6" s="1" t="n">
        <v>0.5</v>
      </c>
      <c r="T6" s="5" t="n">
        <v>6.337E-008</v>
      </c>
      <c r="U6" s="5" t="n">
        <v>8.487E-006</v>
      </c>
      <c r="V6" s="1" t="n">
        <v>1.859</v>
      </c>
    </row>
    <row r="7" customFormat="false" ht="12.8" hidden="false" customHeight="false" outlineLevel="0" collapsed="false">
      <c r="A7" s="1" t="n">
        <v>6</v>
      </c>
      <c r="B7" s="4" t="str">
        <f aca="false">IF(LEFT(E7,2)="S1","01.11.2024",IF(LEFT(E7,2)="S2","24.07.2025",IF(LEFT(E7,2)="S3","14.04.2025",IF(LEFT(E7,2)="S4","04.12.2025","04.12.2025"))))</f>
        <v>04.12.2025</v>
      </c>
      <c r="C7" s="4" t="str">
        <f aca="false">IF(LEFT(E7,2)="S5","Spritz","Standard")</f>
        <v>Standard</v>
      </c>
      <c r="D7" s="4" t="n">
        <f aca="false">IF(RIGHT(E7,2)=".1",1,IF(RIGHT(E7,2)=".2",2,0))</f>
        <v>0</v>
      </c>
      <c r="E7" s="4" t="s">
        <v>22</v>
      </c>
      <c r="F7" s="1" t="s">
        <v>23</v>
      </c>
      <c r="G7" s="1" t="n">
        <v>168.7</v>
      </c>
      <c r="H7" s="1" t="n">
        <v>150.1</v>
      </c>
      <c r="I7" s="1" t="n">
        <v>23.01</v>
      </c>
      <c r="J7" s="1" t="n">
        <v>1</v>
      </c>
      <c r="K7" s="1" t="n">
        <v>0.0324243</v>
      </c>
      <c r="L7" s="5" t="n">
        <v>0.004753</v>
      </c>
      <c r="M7" s="1" t="n">
        <v>14.66</v>
      </c>
      <c r="N7" s="1" t="n">
        <v>14.44</v>
      </c>
      <c r="O7" s="1" t="n">
        <v>2.545</v>
      </c>
      <c r="P7" s="1" t="n">
        <v>2.333</v>
      </c>
      <c r="Q7" s="1" t="n">
        <v>10</v>
      </c>
      <c r="R7" s="1" t="n">
        <v>-0.04546</v>
      </c>
      <c r="S7" s="1" t="n">
        <v>0.5</v>
      </c>
      <c r="T7" s="5" t="n">
        <v>7.963E-008</v>
      </c>
      <c r="U7" s="5" t="n">
        <v>1.081E-005</v>
      </c>
      <c r="V7" s="1" t="n">
        <v>1.603</v>
      </c>
    </row>
    <row r="8" customFormat="false" ht="12.8" hidden="false" customHeight="false" outlineLevel="0" collapsed="false">
      <c r="A8" s="1" t="n">
        <v>7</v>
      </c>
      <c r="B8" s="4" t="str">
        <f aca="false">IF(LEFT(E8,2)="S1","01.11.2024",IF(LEFT(E8,2)="S2","24.07.2025",IF(LEFT(E8,2)="S3","14.04.2025",IF(LEFT(E8,2)="S4","04.12.2025","04.12.2025"))))</f>
        <v>04.12.2025</v>
      </c>
      <c r="C8" s="4" t="str">
        <f aca="false">IF(LEFT(E8,2)="S5","Spritz","Standard")</f>
        <v>Standard</v>
      </c>
      <c r="D8" s="4" t="n">
        <f aca="false">IF(RIGHT(E8,2)=".1",1,IF(RIGHT(E8,2)=".2",2,0))</f>
        <v>0</v>
      </c>
      <c r="E8" s="4" t="s">
        <v>22</v>
      </c>
      <c r="F8" s="1" t="s">
        <v>23</v>
      </c>
      <c r="G8" s="1" t="n">
        <v>193.7</v>
      </c>
      <c r="H8" s="1" t="n">
        <v>175.1</v>
      </c>
      <c r="I8" s="1" t="n">
        <v>23.01</v>
      </c>
      <c r="J8" s="1" t="n">
        <v>1</v>
      </c>
      <c r="K8" s="1" t="n">
        <v>0.0390101</v>
      </c>
      <c r="L8" s="5" t="n">
        <v>0.005682</v>
      </c>
      <c r="M8" s="1" t="n">
        <v>14.57</v>
      </c>
      <c r="N8" s="1" t="n">
        <v>14.32</v>
      </c>
      <c r="O8" s="1" t="n">
        <v>2.663</v>
      </c>
      <c r="P8" s="1" t="n">
        <v>2.318</v>
      </c>
      <c r="Q8" s="1" t="n">
        <v>10.53</v>
      </c>
      <c r="R8" s="1" t="n">
        <v>-0.04588</v>
      </c>
      <c r="S8" s="1" t="n">
        <v>0.5</v>
      </c>
      <c r="T8" s="5" t="n">
        <v>9.519E-008</v>
      </c>
      <c r="U8" s="5" t="n">
        <v>1.3E-005</v>
      </c>
      <c r="V8" s="1" t="n">
        <v>2.558</v>
      </c>
    </row>
    <row r="9" customFormat="false" ht="12.8" hidden="false" customHeight="false" outlineLevel="0" collapsed="false">
      <c r="A9" s="1" t="n">
        <v>8</v>
      </c>
      <c r="B9" s="4" t="str">
        <f aca="false">IF(LEFT(E9,2)="S1","01.11.2024",IF(LEFT(E9,2)="S2","24.07.2025",IF(LEFT(E9,2)="S3","14.04.2025",IF(LEFT(E9,2)="S4","04.12.2025","04.12.2025"))))</f>
        <v>04.12.2025</v>
      </c>
      <c r="C9" s="4" t="str">
        <f aca="false">IF(LEFT(E9,2)="S5","Spritz","Standard")</f>
        <v>Standard</v>
      </c>
      <c r="D9" s="4" t="n">
        <f aca="false">IF(RIGHT(E9,2)=".1",1,IF(RIGHT(E9,2)=".2",2,0))</f>
        <v>0</v>
      </c>
      <c r="E9" s="4" t="s">
        <v>22</v>
      </c>
      <c r="F9" s="1" t="s">
        <v>23</v>
      </c>
      <c r="G9" s="1" t="n">
        <v>218.7</v>
      </c>
      <c r="H9" s="1" t="n">
        <v>200.1</v>
      </c>
      <c r="I9" s="1" t="n">
        <v>23.01</v>
      </c>
      <c r="J9" s="1" t="n">
        <v>1</v>
      </c>
      <c r="K9" s="1" t="n">
        <v>0.0510736</v>
      </c>
      <c r="L9" s="5" t="n">
        <v>0.007368</v>
      </c>
      <c r="M9" s="1" t="n">
        <v>14.43</v>
      </c>
      <c r="N9" s="1" t="n">
        <v>14.17</v>
      </c>
      <c r="O9" s="1" t="n">
        <v>2.685</v>
      </c>
      <c r="P9" s="1" t="n">
        <v>2.296</v>
      </c>
      <c r="Q9" s="1" t="n">
        <v>10.73</v>
      </c>
      <c r="R9" s="1" t="n">
        <v>-0.04531</v>
      </c>
      <c r="S9" s="1" t="n">
        <v>0.5</v>
      </c>
      <c r="T9" s="5" t="n">
        <v>1.234E-007</v>
      </c>
      <c r="U9" s="5" t="n">
        <v>1.703E-005</v>
      </c>
      <c r="V9" s="1" t="n">
        <v>3.508</v>
      </c>
    </row>
    <row r="10" customFormat="false" ht="12.8" hidden="false" customHeight="false" outlineLevel="0" collapsed="false">
      <c r="A10" s="1" t="n">
        <v>9</v>
      </c>
      <c r="B10" s="4" t="str">
        <f aca="false">IF(LEFT(E10,2)="S1","01.11.2024",IF(LEFT(E10,2)="S2","24.07.2025",IF(LEFT(E10,2)="S3","14.04.2025",IF(LEFT(E10,2)="S4","04.12.2025","04.12.2025"))))</f>
        <v>04.12.2025</v>
      </c>
      <c r="C10" s="4" t="str">
        <f aca="false">IF(LEFT(E10,2)="S5","Spritz","Standard")</f>
        <v>Standard</v>
      </c>
      <c r="D10" s="4" t="n">
        <f aca="false">IF(RIGHT(E10,2)=".1",1,IF(RIGHT(E10,2)=".2",2,0))</f>
        <v>0</v>
      </c>
      <c r="E10" s="4" t="s">
        <v>22</v>
      </c>
      <c r="F10" s="1" t="s">
        <v>23</v>
      </c>
      <c r="G10" s="1" t="n">
        <v>243.7</v>
      </c>
      <c r="H10" s="1" t="n">
        <v>225.1</v>
      </c>
      <c r="I10" s="1" t="n">
        <v>23</v>
      </c>
      <c r="J10" s="1" t="n">
        <v>1</v>
      </c>
      <c r="K10" s="1" t="n">
        <v>0.0624733</v>
      </c>
      <c r="L10" s="5" t="n">
        <v>0.008986</v>
      </c>
      <c r="M10" s="1" t="n">
        <v>14.38</v>
      </c>
      <c r="N10" s="1" t="n">
        <v>14.11</v>
      </c>
      <c r="O10" s="1" t="n">
        <v>2.768</v>
      </c>
      <c r="P10" s="1" t="n">
        <v>2.289</v>
      </c>
      <c r="Q10" s="1" t="n">
        <v>11.1</v>
      </c>
      <c r="R10" s="1" t="n">
        <v>-0.0457</v>
      </c>
      <c r="S10" s="1" t="n">
        <v>0.5</v>
      </c>
      <c r="T10" s="5" t="n">
        <v>1.505E-007</v>
      </c>
      <c r="U10" s="5" t="n">
        <v>2.083E-005</v>
      </c>
      <c r="V10" s="1" t="n">
        <v>3.884</v>
      </c>
    </row>
    <row r="11" customFormat="false" ht="12.8" hidden="false" customHeight="false" outlineLevel="0" collapsed="false">
      <c r="A11" s="1" t="n">
        <v>10</v>
      </c>
      <c r="B11" s="4" t="str">
        <f aca="false">IF(LEFT(E11,2)="S1","01.11.2024",IF(LEFT(E11,2)="S2","24.07.2025",IF(LEFT(E11,2)="S3","14.04.2025",IF(LEFT(E11,2)="S4","04.12.2025","04.12.2025"))))</f>
        <v>04.12.2025</v>
      </c>
      <c r="C11" s="4" t="str">
        <f aca="false">IF(LEFT(E11,2)="S5","Spritz","Standard")</f>
        <v>Standard</v>
      </c>
      <c r="D11" s="4" t="n">
        <f aca="false">IF(RIGHT(E11,2)=".1",1,IF(RIGHT(E11,2)=".2",2,0))</f>
        <v>0</v>
      </c>
      <c r="E11" s="4" t="s">
        <v>22</v>
      </c>
      <c r="F11" s="1" t="s">
        <v>23</v>
      </c>
      <c r="G11" s="1" t="n">
        <v>268.7</v>
      </c>
      <c r="H11" s="1" t="n">
        <v>250.1</v>
      </c>
      <c r="I11" s="1" t="n">
        <v>23</v>
      </c>
      <c r="J11" s="1" t="n">
        <v>1</v>
      </c>
      <c r="K11" s="1" t="n">
        <v>0.0793838</v>
      </c>
      <c r="L11" s="1" t="n">
        <v>0.01127</v>
      </c>
      <c r="M11" s="1" t="n">
        <v>14.2</v>
      </c>
      <c r="N11" s="1" t="n">
        <v>13.9</v>
      </c>
      <c r="O11" s="1" t="n">
        <v>2.883</v>
      </c>
      <c r="P11" s="1" t="n">
        <v>2.26</v>
      </c>
      <c r="Q11" s="1" t="n">
        <v>11.71</v>
      </c>
      <c r="R11" s="1" t="n">
        <v>-0.04568</v>
      </c>
      <c r="S11" s="1" t="n">
        <v>0.5</v>
      </c>
      <c r="T11" s="5" t="n">
        <v>1.888E-007</v>
      </c>
      <c r="U11" s="5" t="n">
        <v>2.646E-005</v>
      </c>
      <c r="V11" s="1" t="n">
        <v>3.584</v>
      </c>
    </row>
    <row r="12" customFormat="false" ht="12.8" hidden="false" customHeight="false" outlineLevel="0" collapsed="false">
      <c r="A12" s="1" t="n">
        <v>11</v>
      </c>
      <c r="B12" s="4" t="str">
        <f aca="false">IF(LEFT(E12,2)="S1","01.11.2024",IF(LEFT(E12,2)="S2","24.07.2025",IF(LEFT(E12,2)="S3","14.04.2025",IF(LEFT(E12,2)="S4","04.12.2025","04.12.2025"))))</f>
        <v>04.12.2025</v>
      </c>
      <c r="C12" s="4" t="str">
        <f aca="false">IF(LEFT(E12,2)="S5","Spritz","Standard")</f>
        <v>Standard</v>
      </c>
      <c r="D12" s="4" t="n">
        <f aca="false">IF(RIGHT(E12,2)=".1",1,IF(RIGHT(E12,2)=".2",2,0))</f>
        <v>0</v>
      </c>
      <c r="E12" s="4" t="s">
        <v>22</v>
      </c>
      <c r="F12" s="1" t="s">
        <v>23</v>
      </c>
      <c r="G12" s="1" t="n">
        <v>293.7</v>
      </c>
      <c r="H12" s="1" t="n">
        <v>275.1</v>
      </c>
      <c r="I12" s="1" t="n">
        <v>23.01</v>
      </c>
      <c r="J12" s="1" t="n">
        <v>1</v>
      </c>
      <c r="K12" s="1" t="n">
        <v>0.100553</v>
      </c>
      <c r="L12" s="1" t="n">
        <v>0.01394</v>
      </c>
      <c r="M12" s="1" t="n">
        <v>13.87</v>
      </c>
      <c r="N12" s="1" t="n">
        <v>13.58</v>
      </c>
      <c r="O12" s="1" t="n">
        <v>2.821</v>
      </c>
      <c r="P12" s="1" t="n">
        <v>2.207</v>
      </c>
      <c r="Q12" s="1" t="n">
        <v>11.74</v>
      </c>
      <c r="R12" s="1" t="n">
        <v>-0.04617</v>
      </c>
      <c r="S12" s="1" t="n">
        <v>0.5</v>
      </c>
      <c r="T12" s="5" t="n">
        <v>2.336E-007</v>
      </c>
      <c r="U12" s="5" t="n">
        <v>3.352E-005</v>
      </c>
      <c r="V12" s="1" t="n">
        <v>2.874</v>
      </c>
    </row>
    <row r="13" customFormat="false" ht="12.8" hidden="false" customHeight="false" outlineLevel="0" collapsed="false">
      <c r="A13" s="1" t="n">
        <v>12</v>
      </c>
      <c r="B13" s="4" t="str">
        <f aca="false">IF(LEFT(E13,2)="S1","01.11.2024",IF(LEFT(E13,2)="S2","24.07.2025",IF(LEFT(E13,2)="S3","14.04.2025",IF(LEFT(E13,2)="S4","04.12.2025","04.12.2025"))))</f>
        <v>04.12.2025</v>
      </c>
      <c r="C13" s="4" t="str">
        <f aca="false">IF(LEFT(E13,2)="S5","Spritz","Standard")</f>
        <v>Standard</v>
      </c>
      <c r="D13" s="4" t="n">
        <f aca="false">IF(RIGHT(E13,2)=".1",1,IF(RIGHT(E13,2)=".2",2,0))</f>
        <v>0</v>
      </c>
      <c r="E13" s="4" t="s">
        <v>22</v>
      </c>
      <c r="F13" s="1" t="s">
        <v>23</v>
      </c>
      <c r="G13" s="1" t="n">
        <v>318.8</v>
      </c>
      <c r="H13" s="1" t="n">
        <v>300.2</v>
      </c>
      <c r="I13" s="1" t="n">
        <v>23</v>
      </c>
      <c r="J13" s="1" t="n">
        <v>1</v>
      </c>
      <c r="K13" s="1" t="n">
        <v>0.125548</v>
      </c>
      <c r="L13" s="1" t="n">
        <v>0.01696</v>
      </c>
      <c r="M13" s="1" t="n">
        <v>13.51</v>
      </c>
      <c r="N13" s="1" t="n">
        <v>13.22</v>
      </c>
      <c r="O13" s="1" t="n">
        <v>2.785</v>
      </c>
      <c r="P13" s="1" t="n">
        <v>2.15</v>
      </c>
      <c r="Q13" s="1" t="n">
        <v>11.89</v>
      </c>
      <c r="R13" s="1" t="n">
        <v>-0.04611</v>
      </c>
      <c r="S13" s="1" t="n">
        <v>0.5</v>
      </c>
      <c r="T13" s="5" t="n">
        <v>2.842E-007</v>
      </c>
      <c r="U13" s="5" t="n">
        <v>4.185E-005</v>
      </c>
      <c r="V13" s="1" t="n">
        <v>2.24</v>
      </c>
    </row>
    <row r="14" customFormat="false" ht="12.8" hidden="false" customHeight="false" outlineLevel="0" collapsed="false">
      <c r="A14" s="1" t="n">
        <v>13</v>
      </c>
      <c r="B14" s="4" t="str">
        <f aca="false">IF(LEFT(E14,2)="S1","01.11.2024",IF(LEFT(E14,2)="S2","24.07.2025",IF(LEFT(E14,2)="S3","14.04.2025",IF(LEFT(E14,2)="S4","04.12.2025","04.12.2025"))))</f>
        <v>04.12.2025</v>
      </c>
      <c r="C14" s="4" t="str">
        <f aca="false">IF(LEFT(E14,2)="S5","Spritz","Standard")</f>
        <v>Standard</v>
      </c>
      <c r="D14" s="4" t="n">
        <f aca="false">IF(RIGHT(E14,2)=".1",1,IF(RIGHT(E14,2)=".2",2,0))</f>
        <v>0</v>
      </c>
      <c r="E14" s="4" t="s">
        <v>22</v>
      </c>
      <c r="F14" s="1" t="s">
        <v>23</v>
      </c>
      <c r="G14" s="1" t="n">
        <v>343.8</v>
      </c>
      <c r="H14" s="1" t="n">
        <v>325.2</v>
      </c>
      <c r="I14" s="1" t="n">
        <v>23</v>
      </c>
      <c r="J14" s="1" t="n">
        <v>1</v>
      </c>
      <c r="K14" s="1" t="n">
        <v>0.159494</v>
      </c>
      <c r="L14" s="1" t="n">
        <v>0.02085</v>
      </c>
      <c r="M14" s="1" t="n">
        <v>13.07</v>
      </c>
      <c r="N14" s="1" t="n">
        <v>12.77</v>
      </c>
      <c r="O14" s="1" t="n">
        <v>2.78</v>
      </c>
      <c r="P14" s="1" t="n">
        <v>2.08</v>
      </c>
      <c r="Q14" s="1" t="n">
        <v>12.28</v>
      </c>
      <c r="R14" s="1" t="n">
        <v>-0.04692</v>
      </c>
      <c r="S14" s="1" t="n">
        <v>0.5</v>
      </c>
      <c r="T14" s="5" t="n">
        <v>3.493E-007</v>
      </c>
      <c r="U14" s="5" t="n">
        <v>5.317E-005</v>
      </c>
      <c r="V14" s="1" t="n">
        <v>1.678</v>
      </c>
    </row>
    <row r="15" customFormat="false" ht="12.8" hidden="false" customHeight="false" outlineLevel="0" collapsed="false">
      <c r="A15" s="1" t="n">
        <v>14</v>
      </c>
      <c r="B15" s="4" t="str">
        <f aca="false">IF(LEFT(E15,2)="S1","01.11.2024",IF(LEFT(E15,2)="S2","24.07.2025",IF(LEFT(E15,2)="S3","14.04.2025",IF(LEFT(E15,2)="S4","04.12.2025","04.12.2025"))))</f>
        <v>04.12.2025</v>
      </c>
      <c r="C15" s="4" t="str">
        <f aca="false">IF(LEFT(E15,2)="S5","Spritz","Standard")</f>
        <v>Standard</v>
      </c>
      <c r="D15" s="4" t="n">
        <f aca="false">IF(RIGHT(E15,2)=".1",1,IF(RIGHT(E15,2)=".2",2,0))</f>
        <v>0</v>
      </c>
      <c r="E15" s="4" t="s">
        <v>22</v>
      </c>
      <c r="F15" s="1" t="s">
        <v>23</v>
      </c>
      <c r="G15" s="1" t="n">
        <v>368.8</v>
      </c>
      <c r="H15" s="1" t="n">
        <v>350.2</v>
      </c>
      <c r="I15" s="1" t="n">
        <v>23</v>
      </c>
      <c r="J15" s="1" t="n">
        <v>1</v>
      </c>
      <c r="K15" s="1" t="n">
        <v>0.19939</v>
      </c>
      <c r="L15" s="1" t="n">
        <v>0.02508</v>
      </c>
      <c r="M15" s="1" t="n">
        <v>12.58</v>
      </c>
      <c r="N15" s="1" t="n">
        <v>12.28</v>
      </c>
      <c r="O15" s="1" t="n">
        <v>2.732</v>
      </c>
      <c r="P15" s="1" t="n">
        <v>2.002</v>
      </c>
      <c r="Q15" s="1" t="n">
        <v>12.54</v>
      </c>
      <c r="R15" s="1" t="n">
        <v>-0.04544</v>
      </c>
      <c r="S15" s="1" t="n">
        <v>0.5</v>
      </c>
      <c r="T15" s="5" t="n">
        <v>4.202E-007</v>
      </c>
      <c r="U15" s="5" t="n">
        <v>6.647E-005</v>
      </c>
      <c r="V15" s="1" t="n">
        <v>1.643</v>
      </c>
    </row>
    <row r="16" customFormat="false" ht="12.8" hidden="false" customHeight="false" outlineLevel="0" collapsed="false">
      <c r="A16" s="1" t="n">
        <v>15</v>
      </c>
      <c r="B16" s="4" t="str">
        <f aca="false">IF(LEFT(E16,2)="S1","01.11.2024",IF(LEFT(E16,2)="S2","24.07.2025",IF(LEFT(E16,2)="S3","14.04.2025",IF(LEFT(E16,2)="S4","04.12.2025","04.12.2025"))))</f>
        <v>04.12.2025</v>
      </c>
      <c r="C16" s="4" t="str">
        <f aca="false">IF(LEFT(E16,2)="S5","Spritz","Standard")</f>
        <v>Standard</v>
      </c>
      <c r="D16" s="4" t="n">
        <f aca="false">IF(RIGHT(E16,2)=".1",1,IF(RIGHT(E16,2)=".2",2,0))</f>
        <v>0</v>
      </c>
      <c r="E16" s="4" t="s">
        <v>22</v>
      </c>
      <c r="F16" s="1" t="s">
        <v>23</v>
      </c>
      <c r="G16" s="1" t="n">
        <v>393.8</v>
      </c>
      <c r="H16" s="1" t="n">
        <v>375.2</v>
      </c>
      <c r="I16" s="1" t="n">
        <v>23</v>
      </c>
      <c r="J16" s="1" t="n">
        <v>1</v>
      </c>
      <c r="K16" s="1" t="n">
        <v>0.251406</v>
      </c>
      <c r="L16" s="1" t="n">
        <v>0.03021</v>
      </c>
      <c r="M16" s="1" t="n">
        <v>12.02</v>
      </c>
      <c r="N16" s="1" t="n">
        <v>11.73</v>
      </c>
      <c r="O16" s="1" t="n">
        <v>2.619</v>
      </c>
      <c r="P16" s="1" t="n">
        <v>1.912</v>
      </c>
      <c r="Q16" s="1" t="n">
        <v>12.59</v>
      </c>
      <c r="R16" s="1" t="n">
        <v>-0.04629</v>
      </c>
      <c r="S16" s="1" t="n">
        <v>0.5</v>
      </c>
      <c r="T16" s="5" t="n">
        <v>5.061E-007</v>
      </c>
      <c r="U16" s="5" t="n">
        <v>8.381E-005</v>
      </c>
      <c r="V16" s="1" t="n">
        <v>1.762</v>
      </c>
    </row>
    <row r="17" customFormat="false" ht="12.8" hidden="false" customHeight="false" outlineLevel="0" collapsed="false">
      <c r="A17" s="1" t="n">
        <v>16</v>
      </c>
      <c r="B17" s="4" t="str">
        <f aca="false">IF(LEFT(E17,2)="S1","01.11.2024",IF(LEFT(E17,2)="S2","24.07.2025",IF(LEFT(E17,2)="S3","14.04.2025",IF(LEFT(E17,2)="S4","04.12.2025","04.12.2025"))))</f>
        <v>04.12.2025</v>
      </c>
      <c r="C17" s="4" t="str">
        <f aca="false">IF(LEFT(E17,2)="S5","Spritz","Standard")</f>
        <v>Standard</v>
      </c>
      <c r="D17" s="4" t="n">
        <f aca="false">IF(RIGHT(E17,2)=".1",1,IF(RIGHT(E17,2)=".2",2,0))</f>
        <v>0</v>
      </c>
      <c r="E17" s="4" t="s">
        <v>22</v>
      </c>
      <c r="F17" s="1" t="s">
        <v>23</v>
      </c>
      <c r="G17" s="1" t="n">
        <v>418.8</v>
      </c>
      <c r="H17" s="1" t="n">
        <v>400.2</v>
      </c>
      <c r="I17" s="1" t="n">
        <v>23</v>
      </c>
      <c r="J17" s="1" t="n">
        <v>1</v>
      </c>
      <c r="K17" s="1" t="n">
        <v>0.317337</v>
      </c>
      <c r="L17" s="1" t="n">
        <v>0.03616</v>
      </c>
      <c r="M17" s="1" t="n">
        <v>11.4</v>
      </c>
      <c r="N17" s="1" t="n">
        <v>11.11</v>
      </c>
      <c r="O17" s="1" t="n">
        <v>2.553</v>
      </c>
      <c r="P17" s="1" t="n">
        <v>1.814</v>
      </c>
      <c r="Q17" s="1" t="n">
        <v>12.95</v>
      </c>
      <c r="R17" s="1" t="n">
        <v>-0.0463</v>
      </c>
      <c r="S17" s="1" t="n">
        <v>0.5</v>
      </c>
      <c r="T17" s="5" t="n">
        <v>6.059E-007</v>
      </c>
      <c r="U17" s="5" t="n">
        <v>0.0001058</v>
      </c>
      <c r="V17" s="1" t="n">
        <v>1.717</v>
      </c>
    </row>
    <row r="18" customFormat="false" ht="12.8" hidden="false" customHeight="false" outlineLevel="0" collapsed="false">
      <c r="A18" s="1" t="n">
        <v>17</v>
      </c>
      <c r="B18" s="4" t="str">
        <f aca="false">IF(LEFT(E18,2)="S1","01.11.2024",IF(LEFT(E18,2)="S2","24.07.2025",IF(LEFT(E18,2)="S3","14.04.2025",IF(LEFT(E18,2)="S4","04.12.2025","04.12.2025"))))</f>
        <v>04.12.2025</v>
      </c>
      <c r="C18" s="4" t="str">
        <f aca="false">IF(LEFT(E18,2)="S5","Spritz","Standard")</f>
        <v>Standard</v>
      </c>
      <c r="D18" s="4" t="n">
        <f aca="false">IF(RIGHT(E18,2)=".1",1,IF(RIGHT(E18,2)=".2",2,0))</f>
        <v>0</v>
      </c>
      <c r="E18" s="4" t="s">
        <v>22</v>
      </c>
      <c r="F18" s="1" t="s">
        <v>23</v>
      </c>
      <c r="G18" s="1" t="n">
        <v>443.8</v>
      </c>
      <c r="H18" s="1" t="n">
        <v>425.2</v>
      </c>
      <c r="I18" s="1" t="n">
        <v>23</v>
      </c>
      <c r="J18" s="1" t="n">
        <v>1</v>
      </c>
      <c r="K18" s="1" t="n">
        <v>0.397411</v>
      </c>
      <c r="L18" s="1" t="n">
        <v>0.04294</v>
      </c>
      <c r="M18" s="1" t="n">
        <v>10.8</v>
      </c>
      <c r="N18" s="1" t="n">
        <v>10.51</v>
      </c>
      <c r="O18" s="1" t="n">
        <v>2.5</v>
      </c>
      <c r="P18" s="1" t="n">
        <v>1.72</v>
      </c>
      <c r="Q18" s="1" t="n">
        <v>13.38</v>
      </c>
      <c r="R18" s="1" t="n">
        <v>-0.04754</v>
      </c>
      <c r="S18" s="1" t="n">
        <v>0.5</v>
      </c>
      <c r="T18" s="5" t="n">
        <v>7.193E-007</v>
      </c>
      <c r="U18" s="5" t="n">
        <v>0.0001325</v>
      </c>
      <c r="V18" s="1" t="n">
        <v>1.937</v>
      </c>
    </row>
    <row r="19" customFormat="false" ht="12.8" hidden="false" customHeight="false" outlineLevel="0" collapsed="false">
      <c r="A19" s="1" t="n">
        <v>18</v>
      </c>
      <c r="B19" s="4" t="str">
        <f aca="false">IF(LEFT(E19,2)="S1","01.11.2024",IF(LEFT(E19,2)="S2","24.07.2025",IF(LEFT(E19,2)="S3","14.04.2025",IF(LEFT(E19,2)="S4","04.12.2025","04.12.2025"))))</f>
        <v>04.12.2025</v>
      </c>
      <c r="C19" s="4" t="str">
        <f aca="false">IF(LEFT(E19,2)="S5","Spritz","Standard")</f>
        <v>Standard</v>
      </c>
      <c r="D19" s="4" t="n">
        <f aca="false">IF(RIGHT(E19,2)=".1",1,IF(RIGHT(E19,2)=".2",2,0))</f>
        <v>0</v>
      </c>
      <c r="E19" s="4" t="s">
        <v>22</v>
      </c>
      <c r="F19" s="1" t="s">
        <v>23</v>
      </c>
      <c r="G19" s="1" t="n">
        <v>468.8</v>
      </c>
      <c r="H19" s="1" t="n">
        <v>450.2</v>
      </c>
      <c r="I19" s="1" t="n">
        <v>23</v>
      </c>
      <c r="J19" s="1" t="n">
        <v>1</v>
      </c>
      <c r="K19" s="1" t="n">
        <v>0.501621</v>
      </c>
      <c r="L19" s="1" t="n">
        <v>0.05096</v>
      </c>
      <c r="M19" s="1" t="n">
        <v>10.16</v>
      </c>
      <c r="N19" s="1" t="n">
        <v>9.856</v>
      </c>
      <c r="O19" s="1" t="n">
        <v>2.465</v>
      </c>
      <c r="P19" s="1" t="n">
        <v>1.617</v>
      </c>
      <c r="Q19" s="1" t="n">
        <v>14.04</v>
      </c>
      <c r="R19" s="1" t="n">
        <v>-0.04661</v>
      </c>
      <c r="S19" s="1" t="n">
        <v>0.5</v>
      </c>
      <c r="T19" s="5" t="n">
        <v>8.538E-007</v>
      </c>
      <c r="U19" s="5" t="n">
        <v>0.0001672</v>
      </c>
      <c r="V19" s="1" t="n">
        <v>2.105</v>
      </c>
    </row>
    <row r="20" customFormat="false" ht="12.8" hidden="false" customHeight="false" outlineLevel="0" collapsed="false">
      <c r="A20" s="1" t="n">
        <v>19</v>
      </c>
      <c r="B20" s="4" t="str">
        <f aca="false">IF(LEFT(E20,2)="S1","01.11.2024",IF(LEFT(E20,2)="S2","24.07.2025",IF(LEFT(E20,2)="S3","14.04.2025",IF(LEFT(E20,2)="S4","04.12.2025","04.12.2025"))))</f>
        <v>04.12.2025</v>
      </c>
      <c r="C20" s="4" t="str">
        <f aca="false">IF(LEFT(E20,2)="S5","Spritz","Standard")</f>
        <v>Standard</v>
      </c>
      <c r="D20" s="4" t="n">
        <f aca="false">IF(RIGHT(E20,2)=".1",1,IF(RIGHT(E20,2)=".2",2,0))</f>
        <v>0</v>
      </c>
      <c r="E20" s="4" t="s">
        <v>22</v>
      </c>
      <c r="F20" s="1" t="s">
        <v>23</v>
      </c>
      <c r="G20" s="1" t="n">
        <v>493.8</v>
      </c>
      <c r="H20" s="1" t="n">
        <v>475.2</v>
      </c>
      <c r="I20" s="1" t="n">
        <v>23</v>
      </c>
      <c r="J20" s="1" t="n">
        <v>1</v>
      </c>
      <c r="K20" s="1" t="n">
        <v>0.632254</v>
      </c>
      <c r="L20" s="1" t="n">
        <v>0.05969</v>
      </c>
      <c r="M20" s="1" t="n">
        <v>9.441</v>
      </c>
      <c r="N20" s="1" t="n">
        <v>9.119</v>
      </c>
      <c r="O20" s="1" t="n">
        <v>2.445</v>
      </c>
      <c r="P20" s="1" t="n">
        <v>1.503</v>
      </c>
      <c r="Q20" s="1" t="n">
        <v>15.01</v>
      </c>
      <c r="R20" s="1" t="n">
        <v>-0.04784</v>
      </c>
      <c r="S20" s="1" t="n">
        <v>0.5</v>
      </c>
      <c r="T20" s="5" t="n">
        <v>1E-006</v>
      </c>
      <c r="U20" s="5" t="n">
        <v>0.0002108</v>
      </c>
      <c r="V20" s="1" t="n">
        <v>2.419</v>
      </c>
    </row>
    <row r="21" customFormat="false" ht="12.8" hidden="false" customHeight="false" outlineLevel="0" collapsed="false">
      <c r="A21" s="1" t="n">
        <v>20</v>
      </c>
      <c r="B21" s="4" t="str">
        <f aca="false">IF(LEFT(E21,2)="S1","01.11.2024",IF(LEFT(E21,2)="S2","24.07.2025",IF(LEFT(E21,2)="S3","14.04.2025",IF(LEFT(E21,2)="S4","04.12.2025","04.12.2025"))))</f>
        <v>04.12.2025</v>
      </c>
      <c r="C21" s="4" t="str">
        <f aca="false">IF(LEFT(E21,2)="S5","Spritz","Standard")</f>
        <v>Standard</v>
      </c>
      <c r="D21" s="4" t="n">
        <f aca="false">IF(RIGHT(E21,2)=".1",1,IF(RIGHT(E21,2)=".2",2,0))</f>
        <v>0</v>
      </c>
      <c r="E21" s="4" t="s">
        <v>22</v>
      </c>
      <c r="F21" s="1" t="s">
        <v>23</v>
      </c>
      <c r="G21" s="1" t="n">
        <v>518.8</v>
      </c>
      <c r="H21" s="1" t="n">
        <v>500.2</v>
      </c>
      <c r="I21" s="1" t="n">
        <v>23</v>
      </c>
      <c r="J21" s="1" t="n">
        <v>1</v>
      </c>
      <c r="K21" s="1" t="n">
        <v>0.793161</v>
      </c>
      <c r="L21" s="1" t="n">
        <v>0.0692</v>
      </c>
      <c r="M21" s="1" t="n">
        <v>8.725</v>
      </c>
      <c r="N21" s="1" t="n">
        <v>8.384</v>
      </c>
      <c r="O21" s="1" t="n">
        <v>2.416</v>
      </c>
      <c r="P21" s="1" t="n">
        <v>1.389</v>
      </c>
      <c r="Q21" s="1" t="n">
        <v>16.08</v>
      </c>
      <c r="R21" s="1" t="n">
        <v>-0.04822</v>
      </c>
      <c r="S21" s="1" t="n">
        <v>0.5</v>
      </c>
      <c r="T21" s="5" t="n">
        <v>1.159E-006</v>
      </c>
      <c r="U21" s="5" t="n">
        <v>0.0002644</v>
      </c>
      <c r="V21" s="1" t="n">
        <v>2.861</v>
      </c>
    </row>
    <row r="22" customFormat="false" ht="12.8" hidden="false" customHeight="false" outlineLevel="0" collapsed="false">
      <c r="A22" s="1" t="n">
        <v>21</v>
      </c>
      <c r="B22" s="4" t="str">
        <f aca="false">IF(LEFT(E22,2)="S1","01.11.2024",IF(LEFT(E22,2)="S2","24.07.2025",IF(LEFT(E22,2)="S3","14.04.2025",IF(LEFT(E22,2)="S4","04.12.2025","04.12.2025"))))</f>
        <v>04.12.2025</v>
      </c>
      <c r="C22" s="4" t="str">
        <f aca="false">IF(LEFT(E22,2)="S5","Spritz","Standard")</f>
        <v>Standard</v>
      </c>
      <c r="D22" s="4" t="n">
        <f aca="false">IF(RIGHT(E22,2)=".1",1,IF(RIGHT(E22,2)=".2",2,0))</f>
        <v>0</v>
      </c>
      <c r="E22" s="4" t="s">
        <v>22</v>
      </c>
      <c r="F22" s="1" t="s">
        <v>23</v>
      </c>
      <c r="G22" s="1" t="n">
        <v>543.9</v>
      </c>
      <c r="H22" s="1" t="n">
        <v>525.2</v>
      </c>
      <c r="I22" s="1" t="n">
        <v>23</v>
      </c>
      <c r="J22" s="1" t="n">
        <v>1</v>
      </c>
      <c r="K22" s="1" t="n">
        <v>1.00188</v>
      </c>
      <c r="L22" s="1" t="n">
        <v>0.07996</v>
      </c>
      <c r="M22" s="1" t="n">
        <v>7.981</v>
      </c>
      <c r="N22" s="1" t="n">
        <v>7.624</v>
      </c>
      <c r="O22" s="1" t="n">
        <v>2.36</v>
      </c>
      <c r="P22" s="1" t="n">
        <v>1.27</v>
      </c>
      <c r="Q22" s="1" t="n">
        <v>17.2</v>
      </c>
      <c r="R22" s="1" t="n">
        <v>-0.04825</v>
      </c>
      <c r="S22" s="1" t="n">
        <v>0.5</v>
      </c>
      <c r="T22" s="5" t="n">
        <v>1.34E-006</v>
      </c>
      <c r="U22" s="5" t="n">
        <v>0.000334</v>
      </c>
      <c r="V22" s="1" t="n">
        <v>3.372</v>
      </c>
    </row>
    <row r="23" customFormat="false" ht="12.8" hidden="false" customHeight="false" outlineLevel="0" collapsed="false">
      <c r="A23" s="1" t="n">
        <v>22</v>
      </c>
      <c r="B23" s="4" t="str">
        <f aca="false">IF(LEFT(E23,2)="S1","01.11.2024",IF(LEFT(E23,2)="S2","24.07.2025",IF(LEFT(E23,2)="S3","14.04.2025",IF(LEFT(E23,2)="S4","04.12.2025","04.12.2025"))))</f>
        <v>04.12.2025</v>
      </c>
      <c r="C23" s="4" t="str">
        <f aca="false">IF(LEFT(E23,2)="S5","Spritz","Standard")</f>
        <v>Standard</v>
      </c>
      <c r="D23" s="4" t="n">
        <f aca="false">IF(RIGHT(E23,2)=".1",1,IF(RIGHT(E23,2)=".2",2,0))</f>
        <v>0</v>
      </c>
      <c r="E23" s="4" t="s">
        <v>22</v>
      </c>
      <c r="F23" s="1" t="s">
        <v>23</v>
      </c>
      <c r="G23" s="1" t="n">
        <v>568.9</v>
      </c>
      <c r="H23" s="1" t="n">
        <v>550.3</v>
      </c>
      <c r="I23" s="1" t="n">
        <v>23</v>
      </c>
      <c r="J23" s="1" t="n">
        <v>1</v>
      </c>
      <c r="K23" s="1" t="n">
        <v>1.2603</v>
      </c>
      <c r="L23" s="1" t="n">
        <v>0.09088</v>
      </c>
      <c r="M23" s="1" t="n">
        <v>7.211</v>
      </c>
      <c r="N23" s="1" t="n">
        <v>6.835</v>
      </c>
      <c r="O23" s="1" t="n">
        <v>2.295</v>
      </c>
      <c r="P23" s="1" t="n">
        <v>1.148</v>
      </c>
      <c r="Q23" s="1" t="n">
        <v>18.56</v>
      </c>
      <c r="R23" s="1" t="n">
        <v>-0.04774</v>
      </c>
      <c r="S23" s="1" t="n">
        <v>0.5</v>
      </c>
      <c r="T23" s="5" t="n">
        <v>1.522E-006</v>
      </c>
      <c r="U23" s="5" t="n">
        <v>0.0004201</v>
      </c>
      <c r="V23" s="1" t="n">
        <v>3.897</v>
      </c>
    </row>
    <row r="24" customFormat="false" ht="12.8" hidden="false" customHeight="false" outlineLevel="0" collapsed="false">
      <c r="A24" s="1" t="n">
        <v>23</v>
      </c>
      <c r="B24" s="4" t="str">
        <f aca="false">IF(LEFT(E24,2)="S1","01.11.2024",IF(LEFT(E24,2)="S2","24.07.2025",IF(LEFT(E24,2)="S3","14.04.2025",IF(LEFT(E24,2)="S4","04.12.2025","04.12.2025"))))</f>
        <v>04.12.2025</v>
      </c>
      <c r="C24" s="4" t="str">
        <f aca="false">IF(LEFT(E24,2)="S5","Spritz","Standard")</f>
        <v>Standard</v>
      </c>
      <c r="D24" s="4" t="n">
        <f aca="false">IF(RIGHT(E24,2)=".1",1,IF(RIGHT(E24,2)=".2",2,0))</f>
        <v>0</v>
      </c>
      <c r="E24" s="4" t="s">
        <v>22</v>
      </c>
      <c r="F24" s="1" t="s">
        <v>23</v>
      </c>
      <c r="G24" s="1" t="n">
        <v>593.9</v>
      </c>
      <c r="H24" s="1" t="n">
        <v>575.3</v>
      </c>
      <c r="I24" s="1" t="n">
        <v>23</v>
      </c>
      <c r="J24" s="1" t="n">
        <v>1</v>
      </c>
      <c r="K24" s="1" t="n">
        <v>1.5864</v>
      </c>
      <c r="L24" s="1" t="n">
        <v>0.1025</v>
      </c>
      <c r="M24" s="1" t="n">
        <v>6.461</v>
      </c>
      <c r="N24" s="1" t="n">
        <v>6.071</v>
      </c>
      <c r="O24" s="1" t="n">
        <v>2.212</v>
      </c>
      <c r="P24" s="1" t="n">
        <v>1.028</v>
      </c>
      <c r="Q24" s="1" t="n">
        <v>20.02</v>
      </c>
      <c r="R24" s="1" t="n">
        <v>-0.04771</v>
      </c>
      <c r="S24" s="1" t="n">
        <v>0.5</v>
      </c>
      <c r="T24" s="5" t="n">
        <v>1.717E-006</v>
      </c>
      <c r="U24" s="5" t="n">
        <v>0.0005288</v>
      </c>
      <c r="V24" s="1" t="n">
        <v>4.937</v>
      </c>
    </row>
    <row r="25" customFormat="false" ht="12.8" hidden="false" customHeight="false" outlineLevel="0" collapsed="false">
      <c r="A25" s="1" t="n">
        <v>24</v>
      </c>
      <c r="B25" s="4" t="str">
        <f aca="false">IF(LEFT(E25,2)="S1","01.11.2024",IF(LEFT(E25,2)="S2","24.07.2025",IF(LEFT(E25,2)="S3","14.04.2025",IF(LEFT(E25,2)="S4","04.12.2025","04.12.2025"))))</f>
        <v>04.12.2025</v>
      </c>
      <c r="C25" s="4" t="str">
        <f aca="false">IF(LEFT(E25,2)="S5","Spritz","Standard")</f>
        <v>Standard</v>
      </c>
      <c r="D25" s="4" t="n">
        <f aca="false">IF(RIGHT(E25,2)=".1",1,IF(RIGHT(E25,2)=".2",2,0))</f>
        <v>0</v>
      </c>
      <c r="E25" s="4" t="s">
        <v>22</v>
      </c>
      <c r="F25" s="1" t="s">
        <v>23</v>
      </c>
      <c r="G25" s="1" t="n">
        <v>618.9</v>
      </c>
      <c r="H25" s="1" t="n">
        <v>600.3</v>
      </c>
      <c r="I25" s="1" t="n">
        <v>23</v>
      </c>
      <c r="J25" s="1" t="n">
        <v>1</v>
      </c>
      <c r="K25" s="1" t="n">
        <v>1.99694</v>
      </c>
      <c r="L25" s="1" t="n">
        <v>0.1149</v>
      </c>
      <c r="M25" s="1" t="n">
        <v>5.753</v>
      </c>
      <c r="N25" s="1" t="n">
        <v>5.341</v>
      </c>
      <c r="O25" s="1" t="n">
        <v>2.138</v>
      </c>
      <c r="P25" s="1" t="n">
        <v>0.9156</v>
      </c>
      <c r="Q25" s="1" t="n">
        <v>21.82</v>
      </c>
      <c r="R25" s="1" t="n">
        <v>-0.0492</v>
      </c>
      <c r="S25" s="1" t="n">
        <v>0.5</v>
      </c>
      <c r="T25" s="5" t="n">
        <v>1.925E-006</v>
      </c>
      <c r="U25" s="5" t="n">
        <v>0.0006657</v>
      </c>
      <c r="V25" s="1" t="n">
        <v>6.034</v>
      </c>
    </row>
    <row r="26" customFormat="false" ht="12.8" hidden="false" customHeight="false" outlineLevel="0" collapsed="false">
      <c r="A26" s="1" t="n">
        <v>25</v>
      </c>
      <c r="B26" s="4" t="str">
        <f aca="false">IF(LEFT(E26,2)="S1","01.11.2024",IF(LEFT(E26,2)="S2","24.07.2025",IF(LEFT(E26,2)="S3","14.04.2025",IF(LEFT(E26,2)="S4","04.12.2025","04.12.2025"))))</f>
        <v>04.12.2025</v>
      </c>
      <c r="C26" s="4" t="str">
        <f aca="false">IF(LEFT(E26,2)="S5","Spritz","Standard")</f>
        <v>Standard</v>
      </c>
      <c r="D26" s="4" t="n">
        <f aca="false">IF(RIGHT(E26,2)=".1",1,IF(RIGHT(E26,2)=".2",2,0))</f>
        <v>0</v>
      </c>
      <c r="E26" s="4" t="s">
        <v>22</v>
      </c>
      <c r="F26" s="1" t="s">
        <v>23</v>
      </c>
      <c r="G26" s="1" t="n">
        <v>643.9</v>
      </c>
      <c r="H26" s="1" t="n">
        <v>625.3</v>
      </c>
      <c r="I26" s="1" t="n">
        <v>23</v>
      </c>
      <c r="J26" s="1" t="n">
        <v>1</v>
      </c>
      <c r="K26" s="1" t="n">
        <v>2.51208</v>
      </c>
      <c r="L26" s="1" t="n">
        <v>0.128</v>
      </c>
      <c r="M26" s="1" t="n">
        <v>5.097</v>
      </c>
      <c r="N26" s="1" t="n">
        <v>4.661</v>
      </c>
      <c r="O26" s="1" t="n">
        <v>2.063</v>
      </c>
      <c r="P26" s="1" t="n">
        <v>0.8112</v>
      </c>
      <c r="Q26" s="1" t="n">
        <v>23.87</v>
      </c>
      <c r="R26" s="1" t="n">
        <v>-0.04854</v>
      </c>
      <c r="S26" s="1" t="n">
        <v>0.5</v>
      </c>
      <c r="T26" s="5" t="n">
        <v>2.145E-006</v>
      </c>
      <c r="U26" s="5" t="n">
        <v>0.0008374</v>
      </c>
      <c r="V26" s="1" t="n">
        <v>7.622</v>
      </c>
    </row>
    <row r="27" customFormat="false" ht="12.8" hidden="false" customHeight="false" outlineLevel="0" collapsed="false">
      <c r="A27" s="1" t="n">
        <v>26</v>
      </c>
      <c r="B27" s="4" t="str">
        <f aca="false">IF(LEFT(E27,2)="S1","01.11.2024",IF(LEFT(E27,2)="S2","24.07.2025",IF(LEFT(E27,2)="S3","14.04.2025",IF(LEFT(E27,2)="S4","04.12.2025","04.12.2025"))))</f>
        <v>04.12.2025</v>
      </c>
      <c r="C27" s="4" t="str">
        <f aca="false">IF(LEFT(E27,2)="S5","Spritz","Standard")</f>
        <v>Standard</v>
      </c>
      <c r="D27" s="4" t="n">
        <f aca="false">IF(RIGHT(E27,2)=".1",1,IF(RIGHT(E27,2)=".2",2,0))</f>
        <v>0</v>
      </c>
      <c r="E27" s="4" t="s">
        <v>22</v>
      </c>
      <c r="F27" s="1" t="s">
        <v>23</v>
      </c>
      <c r="G27" s="1" t="n">
        <v>668.9</v>
      </c>
      <c r="H27" s="1" t="n">
        <v>650.3</v>
      </c>
      <c r="I27" s="1" t="n">
        <v>23</v>
      </c>
      <c r="J27" s="1" t="n">
        <v>1</v>
      </c>
      <c r="K27" s="1" t="n">
        <v>3.16567</v>
      </c>
      <c r="L27" s="1" t="n">
        <v>0.1404</v>
      </c>
      <c r="M27" s="1" t="n">
        <v>4.436</v>
      </c>
      <c r="N27" s="1" t="n">
        <v>3.97</v>
      </c>
      <c r="O27" s="1" t="n">
        <v>1.978</v>
      </c>
      <c r="P27" s="1" t="n">
        <v>0.706</v>
      </c>
      <c r="Q27" s="1" t="n">
        <v>26.49</v>
      </c>
      <c r="R27" s="1" t="n">
        <v>-0.04912</v>
      </c>
      <c r="S27" s="1" t="n">
        <v>0.5</v>
      </c>
      <c r="T27" s="5" t="n">
        <v>2.353E-006</v>
      </c>
      <c r="U27" s="5" t="n">
        <v>0.001055</v>
      </c>
      <c r="V27" s="1" t="n">
        <v>10.44</v>
      </c>
    </row>
    <row r="28" customFormat="false" ht="12.8" hidden="false" customHeight="false" outlineLevel="0" collapsed="false">
      <c r="A28" s="1" t="n">
        <v>27</v>
      </c>
      <c r="B28" s="4" t="str">
        <f aca="false">IF(LEFT(E28,2)="S1","01.11.2024",IF(LEFT(E28,2)="S2","24.07.2025",IF(LEFT(E28,2)="S3","14.04.2025",IF(LEFT(E28,2)="S4","04.12.2025","04.12.2025"))))</f>
        <v>04.12.2025</v>
      </c>
      <c r="C28" s="4" t="str">
        <f aca="false">IF(LEFT(E28,2)="S5","Spritz","Standard")</f>
        <v>Standard</v>
      </c>
      <c r="D28" s="4" t="n">
        <f aca="false">IF(RIGHT(E28,2)=".1",1,IF(RIGHT(E28,2)=".2",2,0))</f>
        <v>0</v>
      </c>
      <c r="E28" s="4" t="s">
        <v>22</v>
      </c>
      <c r="F28" s="1" t="s">
        <v>23</v>
      </c>
      <c r="G28" s="1" t="n">
        <v>693.9</v>
      </c>
      <c r="H28" s="1" t="n">
        <v>675.3</v>
      </c>
      <c r="I28" s="1" t="n">
        <v>23</v>
      </c>
      <c r="J28" s="1" t="n">
        <v>1</v>
      </c>
      <c r="K28" s="1" t="n">
        <v>3.98355</v>
      </c>
      <c r="L28" s="1" t="n">
        <v>0.1517</v>
      </c>
      <c r="M28" s="1" t="n">
        <v>3.807</v>
      </c>
      <c r="N28" s="1" t="n">
        <v>3.311</v>
      </c>
      <c r="O28" s="1" t="n">
        <v>1.88</v>
      </c>
      <c r="P28" s="1" t="n">
        <v>0.606</v>
      </c>
      <c r="Q28" s="1" t="n">
        <v>29.59</v>
      </c>
      <c r="R28" s="1" t="n">
        <v>-0.04932</v>
      </c>
      <c r="S28" s="1" t="n">
        <v>0.5</v>
      </c>
      <c r="T28" s="5" t="n">
        <v>2.541E-006</v>
      </c>
      <c r="U28" s="5" t="n">
        <v>0.001328</v>
      </c>
      <c r="V28" s="1" t="n">
        <v>12.44</v>
      </c>
    </row>
    <row r="29" customFormat="false" ht="12.8" hidden="false" customHeight="false" outlineLevel="0" collapsed="false">
      <c r="A29" s="1" t="n">
        <v>28</v>
      </c>
      <c r="B29" s="4" t="str">
        <f aca="false">IF(LEFT(E29,2)="S1","01.11.2024",IF(LEFT(E29,2)="S2","24.07.2025",IF(LEFT(E29,2)="S3","14.04.2025",IF(LEFT(E29,2)="S4","04.12.2025","04.12.2025"))))</f>
        <v>04.12.2025</v>
      </c>
      <c r="C29" s="4" t="str">
        <f aca="false">IF(LEFT(E29,2)="S5","Spritz","Standard")</f>
        <v>Standard</v>
      </c>
      <c r="D29" s="4" t="n">
        <f aca="false">IF(RIGHT(E29,2)=".1",1,IF(RIGHT(E29,2)=".2",2,0))</f>
        <v>0</v>
      </c>
      <c r="E29" s="4" t="s">
        <v>22</v>
      </c>
      <c r="F29" s="1" t="s">
        <v>23</v>
      </c>
      <c r="G29" s="1" t="n">
        <v>719</v>
      </c>
      <c r="H29" s="1" t="n">
        <v>700.3</v>
      </c>
      <c r="I29" s="1" t="n">
        <v>23</v>
      </c>
      <c r="J29" s="1" t="n">
        <v>1</v>
      </c>
      <c r="K29" s="1" t="n">
        <v>5.01505</v>
      </c>
      <c r="L29" s="1" t="n">
        <v>0.1599</v>
      </c>
      <c r="M29" s="1" t="n">
        <v>3.189</v>
      </c>
      <c r="N29" s="1" t="n">
        <v>2.674</v>
      </c>
      <c r="O29" s="1" t="n">
        <v>1.737</v>
      </c>
      <c r="P29" s="1" t="n">
        <v>0.5075</v>
      </c>
      <c r="Q29" s="1" t="n">
        <v>33.01</v>
      </c>
      <c r="R29" s="1" t="n">
        <v>-0.04941</v>
      </c>
      <c r="S29" s="1" t="n">
        <v>0.5</v>
      </c>
      <c r="T29" s="5" t="n">
        <v>2.679E-006</v>
      </c>
      <c r="U29" s="5" t="n">
        <v>0.001672</v>
      </c>
      <c r="V29" s="1" t="n">
        <v>14.57</v>
      </c>
    </row>
    <row r="30" customFormat="false" ht="12.8" hidden="false" customHeight="false" outlineLevel="0" collapsed="false">
      <c r="A30" s="1" t="n">
        <v>29</v>
      </c>
      <c r="B30" s="4" t="str">
        <f aca="false">IF(LEFT(E30,2)="S1","01.11.2024",IF(LEFT(E30,2)="S2","24.07.2025",IF(LEFT(E30,2)="S3","14.04.2025",IF(LEFT(E30,2)="S4","04.12.2025","04.12.2025"))))</f>
        <v>04.12.2025</v>
      </c>
      <c r="C30" s="4" t="str">
        <f aca="false">IF(LEFT(E30,2)="S5","Spritz","Standard")</f>
        <v>Standard</v>
      </c>
      <c r="D30" s="4" t="n">
        <f aca="false">IF(RIGHT(E30,2)=".1",1,IF(RIGHT(E30,2)=".2",2,0))</f>
        <v>0</v>
      </c>
      <c r="E30" s="4" t="s">
        <v>22</v>
      </c>
      <c r="F30" s="1" t="s">
        <v>23</v>
      </c>
      <c r="G30" s="1" t="n">
        <v>744</v>
      </c>
      <c r="H30" s="1" t="n">
        <v>725.4</v>
      </c>
      <c r="I30" s="1" t="n">
        <v>23</v>
      </c>
      <c r="J30" s="1" t="n">
        <v>1</v>
      </c>
      <c r="K30" s="1" t="n">
        <v>6.31647</v>
      </c>
      <c r="L30" s="1" t="n">
        <v>0.1644</v>
      </c>
      <c r="M30" s="1" t="n">
        <v>2.603</v>
      </c>
      <c r="N30" s="1" t="n">
        <v>2.08</v>
      </c>
      <c r="O30" s="1" t="n">
        <v>1.565</v>
      </c>
      <c r="P30" s="1" t="n">
        <v>0.4142</v>
      </c>
      <c r="Q30" s="1" t="n">
        <v>36.96</v>
      </c>
      <c r="R30" s="1" t="n">
        <v>-0.0503</v>
      </c>
      <c r="S30" s="1" t="n">
        <v>0.5</v>
      </c>
      <c r="T30" s="5" t="n">
        <v>2.754E-006</v>
      </c>
      <c r="U30" s="5" t="n">
        <v>0.002106</v>
      </c>
      <c r="V30" s="1" t="n">
        <v>17.15</v>
      </c>
    </row>
    <row r="31" customFormat="false" ht="12.8" hidden="false" customHeight="false" outlineLevel="0" collapsed="false">
      <c r="A31" s="1" t="n">
        <v>30</v>
      </c>
      <c r="B31" s="4" t="str">
        <f aca="false">IF(LEFT(E31,2)="S1","01.11.2024",IF(LEFT(E31,2)="S2","24.07.2025",IF(LEFT(E31,2)="S3","14.04.2025",IF(LEFT(E31,2)="S4","04.12.2025","04.12.2025"))))</f>
        <v>04.12.2025</v>
      </c>
      <c r="C31" s="4" t="str">
        <f aca="false">IF(LEFT(E31,2)="S5","Spritz","Standard")</f>
        <v>Standard</v>
      </c>
      <c r="D31" s="4" t="n">
        <f aca="false">IF(RIGHT(E31,2)=".1",1,IF(RIGHT(E31,2)=".2",2,0))</f>
        <v>0</v>
      </c>
      <c r="E31" s="4" t="s">
        <v>22</v>
      </c>
      <c r="F31" s="1" t="s">
        <v>23</v>
      </c>
      <c r="G31" s="1" t="n">
        <v>769</v>
      </c>
      <c r="H31" s="1" t="n">
        <v>750.4</v>
      </c>
      <c r="I31" s="1" t="n">
        <v>23</v>
      </c>
      <c r="J31" s="1" t="n">
        <v>1</v>
      </c>
      <c r="K31" s="1" t="n">
        <v>7.94342</v>
      </c>
      <c r="L31" s="1" t="n">
        <v>0.1748</v>
      </c>
      <c r="M31" s="1" t="n">
        <v>2.201</v>
      </c>
      <c r="N31" s="1" t="n">
        <v>1.694</v>
      </c>
      <c r="O31" s="1" t="n">
        <v>1.405</v>
      </c>
      <c r="P31" s="1" t="n">
        <v>0.3503</v>
      </c>
      <c r="Q31" s="1" t="n">
        <v>39.69</v>
      </c>
      <c r="R31" s="1" t="n">
        <v>-0.0507</v>
      </c>
      <c r="S31" s="1" t="n">
        <v>0.5</v>
      </c>
      <c r="T31" s="5" t="n">
        <v>2.929E-006</v>
      </c>
      <c r="U31" s="5" t="n">
        <v>0.002648</v>
      </c>
      <c r="V31" s="1" t="n">
        <v>18.11</v>
      </c>
    </row>
    <row r="32" customFormat="false" ht="12.8" hidden="false" customHeight="false" outlineLevel="0" collapsed="false">
      <c r="A32" s="1" t="n">
        <v>31</v>
      </c>
      <c r="B32" s="4" t="str">
        <f aca="false">IF(LEFT(E32,2)="S1","01.11.2024",IF(LEFT(E32,2)="S2","24.07.2025",IF(LEFT(E32,2)="S3","14.04.2025",IF(LEFT(E32,2)="S4","04.12.2025","04.12.2025"))))</f>
        <v>04.12.2025</v>
      </c>
      <c r="C32" s="4" t="str">
        <f aca="false">IF(LEFT(E32,2)="S5","Spritz","Standard")</f>
        <v>Standard</v>
      </c>
      <c r="D32" s="4" t="n">
        <f aca="false">IF(RIGHT(E32,2)=".1",1,IF(RIGHT(E32,2)=".2",2,0))</f>
        <v>0</v>
      </c>
      <c r="E32" s="4" t="s">
        <v>22</v>
      </c>
      <c r="F32" s="1" t="s">
        <v>23</v>
      </c>
      <c r="G32" s="1" t="n">
        <v>794</v>
      </c>
      <c r="H32" s="1" t="n">
        <v>775.4</v>
      </c>
      <c r="I32" s="1" t="n">
        <v>23</v>
      </c>
      <c r="J32" s="1" t="n">
        <v>1</v>
      </c>
      <c r="K32" s="1" t="n">
        <v>9.99485</v>
      </c>
      <c r="L32" s="1" t="n">
        <v>0.1822</v>
      </c>
      <c r="M32" s="1" t="n">
        <v>1.823</v>
      </c>
      <c r="N32" s="1" t="n">
        <v>1.336</v>
      </c>
      <c r="O32" s="1" t="n">
        <v>1.24</v>
      </c>
      <c r="P32" s="1" t="n">
        <v>0.2901</v>
      </c>
      <c r="Q32" s="1" t="n">
        <v>42.88</v>
      </c>
      <c r="R32" s="1" t="n">
        <v>-0.05065</v>
      </c>
      <c r="S32" s="1" t="n">
        <v>0.5</v>
      </c>
      <c r="T32" s="5" t="n">
        <v>3.052E-006</v>
      </c>
      <c r="U32" s="5" t="n">
        <v>0.003332</v>
      </c>
      <c r="V32" s="1" t="n">
        <v>1.682</v>
      </c>
    </row>
    <row r="33" customFormat="false" ht="12.8" hidden="false" customHeight="false" outlineLevel="0" collapsed="false">
      <c r="A33" s="1" t="n">
        <v>1</v>
      </c>
      <c r="B33" s="4" t="str">
        <f aca="false">IF(LEFT(E33,2)="S1","01.11.2024",IF(LEFT(E33,2)="S2","24.07.2025",IF(LEFT(E33,2)="S3","14.04.2025",IF(LEFT(E33,2)="S4","04.12.2025","04.12.2025"))))</f>
        <v>04.12.2025</v>
      </c>
      <c r="C33" s="4" t="str">
        <f aca="false">IF(LEFT(E33,2)="S5","Spritz","Standard")</f>
        <v>Standard</v>
      </c>
      <c r="D33" s="4" t="n">
        <v>1</v>
      </c>
      <c r="E33" s="4" t="s">
        <v>24</v>
      </c>
      <c r="F33" s="1" t="s">
        <v>23</v>
      </c>
      <c r="G33" s="1" t="n">
        <v>39.03</v>
      </c>
      <c r="H33" s="1" t="n">
        <v>25</v>
      </c>
      <c r="I33" s="1" t="n">
        <v>23.02</v>
      </c>
      <c r="J33" s="1" t="n">
        <v>1</v>
      </c>
      <c r="K33" s="1" t="n">
        <v>0.0108702</v>
      </c>
      <c r="L33" s="5" t="n">
        <v>0.001731</v>
      </c>
      <c r="M33" s="1" t="n">
        <v>15.93</v>
      </c>
      <c r="N33" s="1" t="n">
        <v>15.73</v>
      </c>
      <c r="O33" s="1" t="n">
        <v>2.495</v>
      </c>
      <c r="P33" s="1" t="n">
        <v>2.535</v>
      </c>
      <c r="Q33" s="1" t="n">
        <v>9.01</v>
      </c>
      <c r="R33" s="1" t="n">
        <v>-0.1696</v>
      </c>
      <c r="S33" s="1" t="n">
        <v>0.5</v>
      </c>
      <c r="T33" s="5" t="n">
        <v>2.9E-008</v>
      </c>
      <c r="U33" s="5" t="n">
        <v>3.624E-006</v>
      </c>
      <c r="V33" s="1" t="n">
        <v>6.679</v>
      </c>
    </row>
    <row r="34" customFormat="false" ht="12.8" hidden="false" customHeight="false" outlineLevel="0" collapsed="false">
      <c r="A34" s="1" t="n">
        <v>2</v>
      </c>
      <c r="B34" s="4" t="str">
        <f aca="false">IF(LEFT(E34,2)="S1","01.11.2024",IF(LEFT(E34,2)="S2","24.07.2025",IF(LEFT(E34,2)="S3","14.04.2025",IF(LEFT(E34,2)="S4","04.12.2025","04.12.2025"))))</f>
        <v>04.12.2025</v>
      </c>
      <c r="C34" s="4" t="str">
        <f aca="false">IF(LEFT(E34,2)="S5","Spritz","Standard")</f>
        <v>Standard</v>
      </c>
      <c r="D34" s="4" t="n">
        <v>1</v>
      </c>
      <c r="E34" s="4" t="s">
        <v>24</v>
      </c>
      <c r="F34" s="1" t="s">
        <v>23</v>
      </c>
      <c r="G34" s="1" t="n">
        <v>64.04</v>
      </c>
      <c r="H34" s="1" t="n">
        <v>50.01</v>
      </c>
      <c r="I34" s="1" t="n">
        <v>23.02</v>
      </c>
      <c r="J34" s="1" t="n">
        <v>1</v>
      </c>
      <c r="K34" s="1" t="n">
        <v>0.0121134</v>
      </c>
      <c r="L34" s="5" t="n">
        <v>0.00196</v>
      </c>
      <c r="M34" s="1" t="n">
        <v>16.18</v>
      </c>
      <c r="N34" s="1" t="n">
        <v>15.99</v>
      </c>
      <c r="O34" s="1" t="n">
        <v>2.488</v>
      </c>
      <c r="P34" s="1" t="n">
        <v>2.575</v>
      </c>
      <c r="Q34" s="1" t="n">
        <v>8.85</v>
      </c>
      <c r="R34" s="1" t="n">
        <v>-0.1707</v>
      </c>
      <c r="S34" s="1" t="n">
        <v>0.5</v>
      </c>
      <c r="T34" s="5" t="n">
        <v>3.284E-008</v>
      </c>
      <c r="U34" s="5" t="n">
        <v>4.038E-006</v>
      </c>
      <c r="V34" s="1" t="n">
        <v>2.887</v>
      </c>
    </row>
    <row r="35" customFormat="false" ht="12.8" hidden="false" customHeight="false" outlineLevel="0" collapsed="false">
      <c r="A35" s="1" t="n">
        <v>3</v>
      </c>
      <c r="B35" s="4" t="str">
        <f aca="false">IF(LEFT(E35,2)="S1","01.11.2024",IF(LEFT(E35,2)="S2","24.07.2025",IF(LEFT(E35,2)="S3","14.04.2025",IF(LEFT(E35,2)="S4","04.12.2025","04.12.2025"))))</f>
        <v>04.12.2025</v>
      </c>
      <c r="C35" s="4" t="str">
        <f aca="false">IF(LEFT(E35,2)="S5","Spritz","Standard")</f>
        <v>Standard</v>
      </c>
      <c r="D35" s="4" t="n">
        <v>1</v>
      </c>
      <c r="E35" s="4" t="s">
        <v>24</v>
      </c>
      <c r="F35" s="1" t="s">
        <v>23</v>
      </c>
      <c r="G35" s="1" t="n">
        <v>89.05</v>
      </c>
      <c r="H35" s="1" t="n">
        <v>75.02</v>
      </c>
      <c r="I35" s="1" t="n">
        <v>23.01</v>
      </c>
      <c r="J35" s="1" t="n">
        <v>1</v>
      </c>
      <c r="K35" s="1" t="n">
        <v>0.0158538</v>
      </c>
      <c r="L35" s="5" t="n">
        <v>0.00258</v>
      </c>
      <c r="M35" s="1" t="n">
        <v>16.27</v>
      </c>
      <c r="N35" s="1" t="n">
        <v>16.03</v>
      </c>
      <c r="O35" s="1" t="n">
        <v>2.831</v>
      </c>
      <c r="P35" s="1" t="n">
        <v>2.59</v>
      </c>
      <c r="Q35" s="1" t="n">
        <v>10.02</v>
      </c>
      <c r="R35" s="1" t="n">
        <v>-0.1717</v>
      </c>
      <c r="S35" s="1" t="n">
        <v>0.5</v>
      </c>
      <c r="T35" s="5" t="n">
        <v>4.322E-008</v>
      </c>
      <c r="U35" s="5" t="n">
        <v>5.285E-006</v>
      </c>
      <c r="V35" s="1" t="n">
        <v>3.029</v>
      </c>
    </row>
    <row r="36" customFormat="false" ht="12.8" hidden="false" customHeight="false" outlineLevel="0" collapsed="false">
      <c r="A36" s="1" t="n">
        <v>4</v>
      </c>
      <c r="B36" s="4" t="str">
        <f aca="false">IF(LEFT(E36,2)="S1","01.11.2024",IF(LEFT(E36,2)="S2","24.07.2025",IF(LEFT(E36,2)="S3","14.04.2025",IF(LEFT(E36,2)="S4","04.12.2025","04.12.2025"))))</f>
        <v>04.12.2025</v>
      </c>
      <c r="C36" s="4" t="str">
        <f aca="false">IF(LEFT(E36,2)="S5","Spritz","Standard")</f>
        <v>Standard</v>
      </c>
      <c r="D36" s="4" t="n">
        <v>1</v>
      </c>
      <c r="E36" s="4" t="s">
        <v>24</v>
      </c>
      <c r="F36" s="1" t="s">
        <v>23</v>
      </c>
      <c r="G36" s="1" t="n">
        <v>114.1</v>
      </c>
      <c r="H36" s="1" t="n">
        <v>100</v>
      </c>
      <c r="I36" s="1" t="n">
        <v>23.01</v>
      </c>
      <c r="J36" s="1" t="n">
        <v>1</v>
      </c>
      <c r="K36" s="1" t="n">
        <v>0.0204423</v>
      </c>
      <c r="L36" s="5" t="n">
        <v>0.003294</v>
      </c>
      <c r="M36" s="1" t="n">
        <v>16.11</v>
      </c>
      <c r="N36" s="1" t="n">
        <v>15.92</v>
      </c>
      <c r="O36" s="1" t="n">
        <v>2.485</v>
      </c>
      <c r="P36" s="1" t="n">
        <v>2.564</v>
      </c>
      <c r="Q36" s="1" t="n">
        <v>8.87</v>
      </c>
      <c r="R36" s="1" t="n">
        <v>-0.1721</v>
      </c>
      <c r="S36" s="1" t="n">
        <v>0.5</v>
      </c>
      <c r="T36" s="5" t="n">
        <v>5.518E-008</v>
      </c>
      <c r="U36" s="5" t="n">
        <v>6.814E-006</v>
      </c>
      <c r="V36" s="1" t="n">
        <v>1.45</v>
      </c>
    </row>
    <row r="37" customFormat="false" ht="12.8" hidden="false" customHeight="false" outlineLevel="0" collapsed="false">
      <c r="A37" s="1" t="n">
        <v>5</v>
      </c>
      <c r="B37" s="4" t="str">
        <f aca="false">IF(LEFT(E37,2)="S1","01.11.2024",IF(LEFT(E37,2)="S2","24.07.2025",IF(LEFT(E37,2)="S3","14.04.2025",IF(LEFT(E37,2)="S4","04.12.2025","04.12.2025"))))</f>
        <v>04.12.2025</v>
      </c>
      <c r="C37" s="4" t="str">
        <f aca="false">IF(LEFT(E37,2)="S5","Spritz","Standard")</f>
        <v>Standard</v>
      </c>
      <c r="D37" s="4" t="n">
        <v>1</v>
      </c>
      <c r="E37" s="4" t="s">
        <v>24</v>
      </c>
      <c r="F37" s="1" t="s">
        <v>23</v>
      </c>
      <c r="G37" s="1" t="n">
        <v>139.1</v>
      </c>
      <c r="H37" s="1" t="n">
        <v>125</v>
      </c>
      <c r="I37" s="1" t="n">
        <v>23.01</v>
      </c>
      <c r="J37" s="1" t="n">
        <v>1</v>
      </c>
      <c r="K37" s="1" t="n">
        <v>0.0243858</v>
      </c>
      <c r="L37" s="5" t="n">
        <v>0.003912</v>
      </c>
      <c r="M37" s="1" t="n">
        <v>16.04</v>
      </c>
      <c r="N37" s="1" t="n">
        <v>15.84</v>
      </c>
      <c r="O37" s="1" t="n">
        <v>2.513</v>
      </c>
      <c r="P37" s="1" t="n">
        <v>2.553</v>
      </c>
      <c r="Q37" s="1" t="n">
        <v>9.01</v>
      </c>
      <c r="R37" s="1" t="n">
        <v>-0.1732</v>
      </c>
      <c r="S37" s="1" t="n">
        <v>0.5</v>
      </c>
      <c r="T37" s="5" t="n">
        <v>6.554E-008</v>
      </c>
      <c r="U37" s="5" t="n">
        <v>8.129E-006</v>
      </c>
      <c r="V37" s="1" t="n">
        <v>0.8712</v>
      </c>
    </row>
    <row r="38" customFormat="false" ht="12.8" hidden="false" customHeight="false" outlineLevel="0" collapsed="false">
      <c r="A38" s="1" t="n">
        <v>6</v>
      </c>
      <c r="B38" s="4" t="str">
        <f aca="false">IF(LEFT(E38,2)="S1","01.11.2024",IF(LEFT(E38,2)="S2","24.07.2025",IF(LEFT(E38,2)="S3","14.04.2025",IF(LEFT(E38,2)="S4","04.12.2025","04.12.2025"))))</f>
        <v>04.12.2025</v>
      </c>
      <c r="C38" s="4" t="str">
        <f aca="false">IF(LEFT(E38,2)="S5","Spritz","Standard")</f>
        <v>Standard</v>
      </c>
      <c r="D38" s="4" t="n">
        <v>1</v>
      </c>
      <c r="E38" s="4" t="s">
        <v>24</v>
      </c>
      <c r="F38" s="1" t="s">
        <v>23</v>
      </c>
      <c r="G38" s="1" t="n">
        <v>164.1</v>
      </c>
      <c r="H38" s="1" t="n">
        <v>150.1</v>
      </c>
      <c r="I38" s="1" t="n">
        <v>23</v>
      </c>
      <c r="J38" s="1" t="n">
        <v>1</v>
      </c>
      <c r="K38" s="1" t="n">
        <v>0.0322182</v>
      </c>
      <c r="L38" s="5" t="n">
        <v>0.005116</v>
      </c>
      <c r="M38" s="1" t="n">
        <v>15.88</v>
      </c>
      <c r="N38" s="1" t="n">
        <v>15.66</v>
      </c>
      <c r="O38" s="1" t="n">
        <v>2.61</v>
      </c>
      <c r="P38" s="1" t="n">
        <v>2.527</v>
      </c>
      <c r="Q38" s="1" t="n">
        <v>9.46</v>
      </c>
      <c r="R38" s="1" t="n">
        <v>-0.172</v>
      </c>
      <c r="S38" s="1" t="n">
        <v>0.5</v>
      </c>
      <c r="T38" s="5" t="n">
        <v>8.57E-008</v>
      </c>
      <c r="U38" s="5" t="n">
        <v>1.074E-005</v>
      </c>
      <c r="V38" s="1" t="n">
        <v>1.074</v>
      </c>
    </row>
    <row r="39" customFormat="false" ht="12.8" hidden="false" customHeight="false" outlineLevel="0" collapsed="false">
      <c r="A39" s="1" t="n">
        <v>7</v>
      </c>
      <c r="B39" s="4" t="str">
        <f aca="false">IF(LEFT(E39,2)="S1","01.11.2024",IF(LEFT(E39,2)="S2","24.07.2025",IF(LEFT(E39,2)="S3","14.04.2025",IF(LEFT(E39,2)="S4","04.12.2025","04.12.2025"))))</f>
        <v>04.12.2025</v>
      </c>
      <c r="C39" s="4" t="str">
        <f aca="false">IF(LEFT(E39,2)="S5","Spritz","Standard")</f>
        <v>Standard</v>
      </c>
      <c r="D39" s="4" t="n">
        <v>1</v>
      </c>
      <c r="E39" s="4" t="s">
        <v>24</v>
      </c>
      <c r="F39" s="1" t="s">
        <v>23</v>
      </c>
      <c r="G39" s="1" t="n">
        <v>189.1</v>
      </c>
      <c r="H39" s="1" t="n">
        <v>175.1</v>
      </c>
      <c r="I39" s="1" t="n">
        <v>23.01</v>
      </c>
      <c r="J39" s="1" t="n">
        <v>1</v>
      </c>
      <c r="K39" s="1" t="n">
        <v>0.0404504</v>
      </c>
      <c r="L39" s="5" t="n">
        <v>0.006334</v>
      </c>
      <c r="M39" s="1" t="n">
        <v>15.66</v>
      </c>
      <c r="N39" s="1" t="n">
        <v>15.44</v>
      </c>
      <c r="O39" s="1" t="n">
        <v>2.607</v>
      </c>
      <c r="P39" s="1" t="n">
        <v>2.492</v>
      </c>
      <c r="Q39" s="1" t="n">
        <v>9.58</v>
      </c>
      <c r="R39" s="1" t="n">
        <v>-0.1727</v>
      </c>
      <c r="S39" s="1" t="n">
        <v>0.5</v>
      </c>
      <c r="T39" s="5" t="n">
        <v>1.061E-007</v>
      </c>
      <c r="U39" s="5" t="n">
        <v>1.348E-005</v>
      </c>
      <c r="V39" s="1" t="n">
        <v>1.043</v>
      </c>
    </row>
    <row r="40" customFormat="false" ht="12.8" hidden="false" customHeight="false" outlineLevel="0" collapsed="false">
      <c r="A40" s="1" t="n">
        <v>8</v>
      </c>
      <c r="B40" s="4" t="str">
        <f aca="false">IF(LEFT(E40,2)="S1","01.11.2024",IF(LEFT(E40,2)="S2","24.07.2025",IF(LEFT(E40,2)="S3","14.04.2025",IF(LEFT(E40,2)="S4","04.12.2025","04.12.2025"))))</f>
        <v>04.12.2025</v>
      </c>
      <c r="C40" s="4" t="str">
        <f aca="false">IF(LEFT(E40,2)="S5","Spritz","Standard")</f>
        <v>Standard</v>
      </c>
      <c r="D40" s="4" t="n">
        <v>1</v>
      </c>
      <c r="E40" s="4" t="s">
        <v>24</v>
      </c>
      <c r="F40" s="1" t="s">
        <v>23</v>
      </c>
      <c r="G40" s="1" t="n">
        <v>214.1</v>
      </c>
      <c r="H40" s="1" t="n">
        <v>200.1</v>
      </c>
      <c r="I40" s="1" t="n">
        <v>23</v>
      </c>
      <c r="J40" s="1" t="n">
        <v>1</v>
      </c>
      <c r="K40" s="1" t="n">
        <v>0.049632</v>
      </c>
      <c r="L40" s="5" t="n">
        <v>0.007641</v>
      </c>
      <c r="M40" s="1" t="n">
        <v>15.39</v>
      </c>
      <c r="N40" s="1" t="n">
        <v>15.18</v>
      </c>
      <c r="O40" s="1" t="n">
        <v>2.549</v>
      </c>
      <c r="P40" s="1" t="n">
        <v>2.45</v>
      </c>
      <c r="Q40" s="1" t="n">
        <v>9.53</v>
      </c>
      <c r="R40" s="1" t="n">
        <v>-0.1735</v>
      </c>
      <c r="S40" s="1" t="n">
        <v>0.5</v>
      </c>
      <c r="T40" s="5" t="n">
        <v>1.28E-007</v>
      </c>
      <c r="U40" s="5" t="n">
        <v>1.654E-005</v>
      </c>
      <c r="V40" s="1" t="n">
        <v>0.9872</v>
      </c>
    </row>
    <row r="41" customFormat="false" ht="12.8" hidden="false" customHeight="false" outlineLevel="0" collapsed="false">
      <c r="A41" s="1" t="n">
        <v>9</v>
      </c>
      <c r="B41" s="4" t="str">
        <f aca="false">IF(LEFT(E41,2)="S1","01.11.2024",IF(LEFT(E41,2)="S2","24.07.2025",IF(LEFT(E41,2)="S3","14.04.2025",IF(LEFT(E41,2)="S4","04.12.2025","04.12.2025"))))</f>
        <v>04.12.2025</v>
      </c>
      <c r="C41" s="4" t="str">
        <f aca="false">IF(LEFT(E41,2)="S5","Spritz","Standard")</f>
        <v>Standard</v>
      </c>
      <c r="D41" s="4" t="n">
        <v>1</v>
      </c>
      <c r="E41" s="4" t="s">
        <v>24</v>
      </c>
      <c r="F41" s="1" t="s">
        <v>23</v>
      </c>
      <c r="G41" s="1" t="n">
        <v>239.1</v>
      </c>
      <c r="H41" s="1" t="n">
        <v>225.1</v>
      </c>
      <c r="I41" s="1" t="n">
        <v>23</v>
      </c>
      <c r="J41" s="1" t="n">
        <v>1</v>
      </c>
      <c r="K41" s="1" t="n">
        <v>0.0629748</v>
      </c>
      <c r="L41" s="5" t="n">
        <v>0.009534</v>
      </c>
      <c r="M41" s="1" t="n">
        <v>15.14</v>
      </c>
      <c r="N41" s="1" t="n">
        <v>14.91</v>
      </c>
      <c r="O41" s="1" t="n">
        <v>2.612</v>
      </c>
      <c r="P41" s="1" t="n">
        <v>2.41</v>
      </c>
      <c r="Q41" s="1" t="n">
        <v>9.93</v>
      </c>
      <c r="R41" s="1" t="n">
        <v>-0.1736</v>
      </c>
      <c r="S41" s="1" t="n">
        <v>0.5</v>
      </c>
      <c r="T41" s="5" t="n">
        <v>1.597E-007</v>
      </c>
      <c r="U41" s="5" t="n">
        <v>2.099E-005</v>
      </c>
      <c r="V41" s="1" t="n">
        <v>0.8191</v>
      </c>
    </row>
    <row r="42" customFormat="false" ht="12.8" hidden="false" customHeight="false" outlineLevel="0" collapsed="false">
      <c r="A42" s="1" t="n">
        <v>10</v>
      </c>
      <c r="B42" s="4" t="str">
        <f aca="false">IF(LEFT(E42,2)="S1","01.11.2024",IF(LEFT(E42,2)="S2","24.07.2025",IF(LEFT(E42,2)="S3","14.04.2025",IF(LEFT(E42,2)="S4","04.12.2025","04.12.2025"))))</f>
        <v>04.12.2025</v>
      </c>
      <c r="C42" s="4" t="str">
        <f aca="false">IF(LEFT(E42,2)="S5","Spritz","Standard")</f>
        <v>Standard</v>
      </c>
      <c r="D42" s="4" t="n">
        <v>1</v>
      </c>
      <c r="E42" s="4" t="s">
        <v>24</v>
      </c>
      <c r="F42" s="1" t="s">
        <v>23</v>
      </c>
      <c r="G42" s="1" t="n">
        <v>264.1</v>
      </c>
      <c r="H42" s="1" t="n">
        <v>250.1</v>
      </c>
      <c r="I42" s="1" t="n">
        <v>23</v>
      </c>
      <c r="J42" s="1" t="n">
        <v>1</v>
      </c>
      <c r="K42" s="1" t="n">
        <v>0.0804524</v>
      </c>
      <c r="L42" s="1" t="n">
        <v>0.01185</v>
      </c>
      <c r="M42" s="1" t="n">
        <v>14.73</v>
      </c>
      <c r="N42" s="1" t="n">
        <v>14.48</v>
      </c>
      <c r="O42" s="1" t="n">
        <v>2.672</v>
      </c>
      <c r="P42" s="1" t="n">
        <v>2.344</v>
      </c>
      <c r="Q42" s="1" t="n">
        <v>10.45</v>
      </c>
      <c r="R42" s="1" t="n">
        <v>-0.1738</v>
      </c>
      <c r="S42" s="1" t="n">
        <v>0.5</v>
      </c>
      <c r="T42" s="5" t="n">
        <v>1.985E-007</v>
      </c>
      <c r="U42" s="5" t="n">
        <v>2.682E-005</v>
      </c>
      <c r="V42" s="1" t="n">
        <v>1.012</v>
      </c>
    </row>
    <row r="43" customFormat="false" ht="12.8" hidden="false" customHeight="false" outlineLevel="0" collapsed="false">
      <c r="A43" s="1" t="n">
        <v>11</v>
      </c>
      <c r="B43" s="4" t="str">
        <f aca="false">IF(LEFT(E43,2)="S1","01.11.2024",IF(LEFT(E43,2)="S2","24.07.2025",IF(LEFT(E43,2)="S3","14.04.2025",IF(LEFT(E43,2)="S4","04.12.2025","04.12.2025"))))</f>
        <v>04.12.2025</v>
      </c>
      <c r="C43" s="4" t="str">
        <f aca="false">IF(LEFT(E43,2)="S5","Spritz","Standard")</f>
        <v>Standard</v>
      </c>
      <c r="D43" s="4" t="n">
        <v>1</v>
      </c>
      <c r="E43" s="4" t="s">
        <v>24</v>
      </c>
      <c r="F43" s="1" t="s">
        <v>23</v>
      </c>
      <c r="G43" s="1" t="n">
        <v>289.2</v>
      </c>
      <c r="H43" s="1" t="n">
        <v>275.1</v>
      </c>
      <c r="I43" s="1" t="n">
        <v>23</v>
      </c>
      <c r="J43" s="1" t="n">
        <v>1</v>
      </c>
      <c r="K43" s="1" t="n">
        <v>0.0997618</v>
      </c>
      <c r="L43" s="1" t="n">
        <v>0.01431</v>
      </c>
      <c r="M43" s="1" t="n">
        <v>14.34</v>
      </c>
      <c r="N43" s="1" t="n">
        <v>14.07</v>
      </c>
      <c r="O43" s="1" t="n">
        <v>2.77</v>
      </c>
      <c r="P43" s="1" t="n">
        <v>2.283</v>
      </c>
      <c r="Q43" s="1" t="n">
        <v>11.14</v>
      </c>
      <c r="R43" s="1" t="n">
        <v>-0.1735</v>
      </c>
      <c r="S43" s="1" t="n">
        <v>0.5</v>
      </c>
      <c r="T43" s="5" t="n">
        <v>2.397E-007</v>
      </c>
      <c r="U43" s="5" t="n">
        <v>3.326E-005</v>
      </c>
      <c r="V43" s="1" t="n">
        <v>1.203</v>
      </c>
    </row>
    <row r="44" customFormat="false" ht="12.8" hidden="false" customHeight="false" outlineLevel="0" collapsed="false">
      <c r="A44" s="1" t="n">
        <v>12</v>
      </c>
      <c r="B44" s="4" t="str">
        <f aca="false">IF(LEFT(E44,2)="S1","01.11.2024",IF(LEFT(E44,2)="S2","24.07.2025",IF(LEFT(E44,2)="S3","14.04.2025",IF(LEFT(E44,2)="S4","04.12.2025","04.12.2025"))))</f>
        <v>04.12.2025</v>
      </c>
      <c r="C44" s="4" t="str">
        <f aca="false">IF(LEFT(E44,2)="S5","Spritz","Standard")</f>
        <v>Standard</v>
      </c>
      <c r="D44" s="4" t="n">
        <v>1</v>
      </c>
      <c r="E44" s="4" t="s">
        <v>24</v>
      </c>
      <c r="F44" s="1" t="s">
        <v>23</v>
      </c>
      <c r="G44" s="1" t="n">
        <v>314.2</v>
      </c>
      <c r="H44" s="1" t="n">
        <v>300.1</v>
      </c>
      <c r="I44" s="1" t="n">
        <v>23</v>
      </c>
      <c r="J44" s="1" t="n">
        <v>1</v>
      </c>
      <c r="K44" s="1" t="n">
        <v>0.126051</v>
      </c>
      <c r="L44" s="1" t="n">
        <v>0.01756</v>
      </c>
      <c r="M44" s="1" t="n">
        <v>13.93</v>
      </c>
      <c r="N44" s="1" t="n">
        <v>13.64</v>
      </c>
      <c r="O44" s="1" t="n">
        <v>2.842</v>
      </c>
      <c r="P44" s="1" t="n">
        <v>2.217</v>
      </c>
      <c r="Q44" s="1" t="n">
        <v>11.77</v>
      </c>
      <c r="R44" s="1" t="n">
        <v>-0.1746</v>
      </c>
      <c r="S44" s="1" t="n">
        <v>0.5</v>
      </c>
      <c r="T44" s="5" t="n">
        <v>2.942E-007</v>
      </c>
      <c r="U44" s="5" t="n">
        <v>4.202E-005</v>
      </c>
      <c r="V44" s="1" t="n">
        <v>1.385</v>
      </c>
    </row>
    <row r="45" customFormat="false" ht="12.8" hidden="false" customHeight="false" outlineLevel="0" collapsed="false">
      <c r="A45" s="1" t="n">
        <v>13</v>
      </c>
      <c r="B45" s="4" t="str">
        <f aca="false">IF(LEFT(E45,2)="S1","01.11.2024",IF(LEFT(E45,2)="S2","24.07.2025",IF(LEFT(E45,2)="S3","14.04.2025",IF(LEFT(E45,2)="S4","04.12.2025","04.12.2025"))))</f>
        <v>04.12.2025</v>
      </c>
      <c r="C45" s="4" t="str">
        <f aca="false">IF(LEFT(E45,2)="S5","Spritz","Standard")</f>
        <v>Standard</v>
      </c>
      <c r="D45" s="4" t="n">
        <v>1</v>
      </c>
      <c r="E45" s="4" t="s">
        <v>24</v>
      </c>
      <c r="F45" s="1" t="s">
        <v>23</v>
      </c>
      <c r="G45" s="1" t="n">
        <v>339.2</v>
      </c>
      <c r="H45" s="1" t="n">
        <v>325.2</v>
      </c>
      <c r="I45" s="1" t="n">
        <v>23</v>
      </c>
      <c r="J45" s="1" t="n">
        <v>1</v>
      </c>
      <c r="K45" s="1" t="n">
        <v>0.159223</v>
      </c>
      <c r="L45" s="1" t="n">
        <v>0.02135</v>
      </c>
      <c r="M45" s="1" t="n">
        <v>13.41</v>
      </c>
      <c r="N45" s="1" t="n">
        <v>13.11</v>
      </c>
      <c r="O45" s="1" t="n">
        <v>2.845</v>
      </c>
      <c r="P45" s="1" t="n">
        <v>2.135</v>
      </c>
      <c r="Q45" s="1" t="n">
        <v>12.25</v>
      </c>
      <c r="R45" s="1" t="n">
        <v>-0.1749</v>
      </c>
      <c r="S45" s="1" t="n">
        <v>0.5</v>
      </c>
      <c r="T45" s="5" t="n">
        <v>3.578E-007</v>
      </c>
      <c r="U45" s="5" t="n">
        <v>5.308E-005</v>
      </c>
      <c r="V45" s="1" t="n">
        <v>1.641</v>
      </c>
    </row>
    <row r="46" customFormat="false" ht="12.8" hidden="false" customHeight="false" outlineLevel="0" collapsed="false">
      <c r="A46" s="1" t="n">
        <v>14</v>
      </c>
      <c r="B46" s="4" t="str">
        <f aca="false">IF(LEFT(E46,2)="S1","01.11.2024",IF(LEFT(E46,2)="S2","24.07.2025",IF(LEFT(E46,2)="S3","14.04.2025",IF(LEFT(E46,2)="S4","04.12.2025","04.12.2025"))))</f>
        <v>04.12.2025</v>
      </c>
      <c r="C46" s="4" t="str">
        <f aca="false">IF(LEFT(E46,2)="S5","Spritz","Standard")</f>
        <v>Standard</v>
      </c>
      <c r="D46" s="4" t="n">
        <v>1</v>
      </c>
      <c r="E46" s="4" t="s">
        <v>24</v>
      </c>
      <c r="F46" s="1" t="s">
        <v>23</v>
      </c>
      <c r="G46" s="1" t="n">
        <v>364.2</v>
      </c>
      <c r="H46" s="1" t="n">
        <v>350.2</v>
      </c>
      <c r="I46" s="1" t="n">
        <v>23</v>
      </c>
      <c r="J46" s="1" t="n">
        <v>1</v>
      </c>
      <c r="K46" s="1" t="n">
        <v>0.199044</v>
      </c>
      <c r="L46" s="1" t="n">
        <v>0.02566</v>
      </c>
      <c r="M46" s="1" t="n">
        <v>12.89</v>
      </c>
      <c r="N46" s="1" t="n">
        <v>12.57</v>
      </c>
      <c r="O46" s="1" t="n">
        <v>2.849</v>
      </c>
      <c r="P46" s="1" t="n">
        <v>2.052</v>
      </c>
      <c r="Q46" s="1" t="n">
        <v>12.77</v>
      </c>
      <c r="R46" s="1" t="n">
        <v>-0.1747</v>
      </c>
      <c r="S46" s="1" t="n">
        <v>0.5</v>
      </c>
      <c r="T46" s="5" t="n">
        <v>4.298E-007</v>
      </c>
      <c r="U46" s="5" t="n">
        <v>6.635E-005</v>
      </c>
      <c r="V46" s="1" t="n">
        <v>1.686</v>
      </c>
    </row>
    <row r="47" customFormat="false" ht="12.8" hidden="false" customHeight="false" outlineLevel="0" collapsed="false">
      <c r="A47" s="1" t="n">
        <v>15</v>
      </c>
      <c r="B47" s="4" t="str">
        <f aca="false">IF(LEFT(E47,2)="S1","01.11.2024",IF(LEFT(E47,2)="S2","24.07.2025",IF(LEFT(E47,2)="S3","14.04.2025",IF(LEFT(E47,2)="S4","04.12.2025","04.12.2025"))))</f>
        <v>04.12.2025</v>
      </c>
      <c r="C47" s="4" t="str">
        <f aca="false">IF(LEFT(E47,2)="S5","Spritz","Standard")</f>
        <v>Standard</v>
      </c>
      <c r="D47" s="4" t="n">
        <v>1</v>
      </c>
      <c r="E47" s="4" t="s">
        <v>24</v>
      </c>
      <c r="F47" s="1" t="s">
        <v>23</v>
      </c>
      <c r="G47" s="1" t="n">
        <v>389.2</v>
      </c>
      <c r="H47" s="1" t="n">
        <v>375.2</v>
      </c>
      <c r="I47" s="1" t="n">
        <v>23</v>
      </c>
      <c r="J47" s="1" t="n">
        <v>1</v>
      </c>
      <c r="K47" s="1" t="n">
        <v>0.251569</v>
      </c>
      <c r="L47" s="1" t="n">
        <v>0.03105</v>
      </c>
      <c r="M47" s="1" t="n">
        <v>12.34</v>
      </c>
      <c r="N47" s="1" t="n">
        <v>12.01</v>
      </c>
      <c r="O47" s="1" t="n">
        <v>2.847</v>
      </c>
      <c r="P47" s="1" t="n">
        <v>1.964</v>
      </c>
      <c r="Q47" s="1" t="n">
        <v>13.33</v>
      </c>
      <c r="R47" s="1" t="n">
        <v>-0.1752</v>
      </c>
      <c r="S47" s="1" t="n">
        <v>0.5</v>
      </c>
      <c r="T47" s="5" t="n">
        <v>5.202E-007</v>
      </c>
      <c r="U47" s="5" t="n">
        <v>8.386E-005</v>
      </c>
      <c r="V47" s="1" t="n">
        <v>1.754</v>
      </c>
    </row>
    <row r="48" customFormat="false" ht="12.8" hidden="false" customHeight="false" outlineLevel="0" collapsed="false">
      <c r="A48" s="1" t="n">
        <v>16</v>
      </c>
      <c r="B48" s="4" t="str">
        <f aca="false">IF(LEFT(E48,2)="S1","01.11.2024",IF(LEFT(E48,2)="S2","24.07.2025",IF(LEFT(E48,2)="S3","14.04.2025",IF(LEFT(E48,2)="S4","04.12.2025","04.12.2025"))))</f>
        <v>04.12.2025</v>
      </c>
      <c r="C48" s="4" t="str">
        <f aca="false">IF(LEFT(E48,2)="S5","Spritz","Standard")</f>
        <v>Standard</v>
      </c>
      <c r="D48" s="4" t="n">
        <v>1</v>
      </c>
      <c r="E48" s="4" t="s">
        <v>24</v>
      </c>
      <c r="F48" s="1" t="s">
        <v>23</v>
      </c>
      <c r="G48" s="1" t="n">
        <v>414.2</v>
      </c>
      <c r="H48" s="1" t="n">
        <v>400.2</v>
      </c>
      <c r="I48" s="1" t="n">
        <v>23</v>
      </c>
      <c r="J48" s="1" t="n">
        <v>1</v>
      </c>
      <c r="K48" s="1" t="n">
        <v>0.317053</v>
      </c>
      <c r="L48" s="1" t="n">
        <v>0.03736</v>
      </c>
      <c r="M48" s="1" t="n">
        <v>11.78</v>
      </c>
      <c r="N48" s="1" t="n">
        <v>11.44</v>
      </c>
      <c r="O48" s="1" t="n">
        <v>2.821</v>
      </c>
      <c r="P48" s="1" t="n">
        <v>1.875</v>
      </c>
      <c r="Q48" s="1" t="n">
        <v>13.85</v>
      </c>
      <c r="R48" s="1" t="n">
        <v>-0.1747</v>
      </c>
      <c r="S48" s="1" t="n">
        <v>0.5</v>
      </c>
      <c r="T48" s="5" t="n">
        <v>6.258E-007</v>
      </c>
      <c r="U48" s="5" t="n">
        <v>0.0001057</v>
      </c>
      <c r="V48" s="1" t="n">
        <v>1.835</v>
      </c>
    </row>
    <row r="49" customFormat="false" ht="12.8" hidden="false" customHeight="false" outlineLevel="0" collapsed="false">
      <c r="A49" s="1" t="n">
        <v>17</v>
      </c>
      <c r="B49" s="4" t="str">
        <f aca="false">IF(LEFT(E49,2)="S1","01.11.2024",IF(LEFT(E49,2)="S2","24.07.2025",IF(LEFT(E49,2)="S3","14.04.2025",IF(LEFT(E49,2)="S4","04.12.2025","04.12.2025"))))</f>
        <v>04.12.2025</v>
      </c>
      <c r="C49" s="4" t="str">
        <f aca="false">IF(LEFT(E49,2)="S5","Spritz","Standard")</f>
        <v>Standard</v>
      </c>
      <c r="D49" s="4" t="n">
        <v>1</v>
      </c>
      <c r="E49" s="4" t="s">
        <v>24</v>
      </c>
      <c r="F49" s="1" t="s">
        <v>23</v>
      </c>
      <c r="G49" s="1" t="n">
        <v>439.2</v>
      </c>
      <c r="H49" s="1" t="n">
        <v>425.2</v>
      </c>
      <c r="I49" s="1" t="n">
        <v>23</v>
      </c>
      <c r="J49" s="1" t="n">
        <v>1</v>
      </c>
      <c r="K49" s="1" t="n">
        <v>0.397846</v>
      </c>
      <c r="L49" s="1" t="n">
        <v>0.04445</v>
      </c>
      <c r="M49" s="1" t="n">
        <v>11.17</v>
      </c>
      <c r="N49" s="1" t="n">
        <v>10.82</v>
      </c>
      <c r="O49" s="1" t="n">
        <v>2.788</v>
      </c>
      <c r="P49" s="1" t="n">
        <v>1.778</v>
      </c>
      <c r="Q49" s="1" t="n">
        <v>14.45</v>
      </c>
      <c r="R49" s="1" t="n">
        <v>-0.1748</v>
      </c>
      <c r="S49" s="1" t="n">
        <v>0.5</v>
      </c>
      <c r="T49" s="5" t="n">
        <v>7.447E-007</v>
      </c>
      <c r="U49" s="5" t="n">
        <v>0.0001326</v>
      </c>
      <c r="V49" s="1" t="n">
        <v>2.219</v>
      </c>
    </row>
    <row r="50" customFormat="false" ht="12.8" hidden="false" customHeight="false" outlineLevel="0" collapsed="false">
      <c r="A50" s="1" t="n">
        <v>18</v>
      </c>
      <c r="B50" s="4" t="str">
        <f aca="false">IF(LEFT(E50,2)="S1","01.11.2024",IF(LEFT(E50,2)="S2","24.07.2025",IF(LEFT(E50,2)="S3","14.04.2025",IF(LEFT(E50,2)="S4","04.12.2025","04.12.2025"))))</f>
        <v>04.12.2025</v>
      </c>
      <c r="C50" s="4" t="str">
        <f aca="false">IF(LEFT(E50,2)="S5","Spritz","Standard")</f>
        <v>Standard</v>
      </c>
      <c r="D50" s="4" t="n">
        <v>1</v>
      </c>
      <c r="E50" s="4" t="s">
        <v>24</v>
      </c>
      <c r="F50" s="1" t="s">
        <v>23</v>
      </c>
      <c r="G50" s="1" t="n">
        <v>464.3</v>
      </c>
      <c r="H50" s="1" t="n">
        <v>450.2</v>
      </c>
      <c r="I50" s="1" t="n">
        <v>23</v>
      </c>
      <c r="J50" s="1" t="n">
        <v>1</v>
      </c>
      <c r="K50" s="1" t="n">
        <v>0.500731</v>
      </c>
      <c r="L50" s="1" t="n">
        <v>0.05276</v>
      </c>
      <c r="M50" s="1" t="n">
        <v>10.54</v>
      </c>
      <c r="N50" s="1" t="n">
        <v>10.17</v>
      </c>
      <c r="O50" s="1" t="n">
        <v>2.75</v>
      </c>
      <c r="P50" s="1" t="n">
        <v>1.677</v>
      </c>
      <c r="Q50" s="1" t="n">
        <v>15.13</v>
      </c>
      <c r="R50" s="1" t="n">
        <v>-0.1746</v>
      </c>
      <c r="S50" s="1" t="n">
        <v>0.5</v>
      </c>
      <c r="T50" s="5" t="n">
        <v>8.839E-007</v>
      </c>
      <c r="U50" s="5" t="n">
        <v>0.0001669</v>
      </c>
      <c r="V50" s="1" t="n">
        <v>2.273</v>
      </c>
    </row>
    <row r="51" customFormat="false" ht="12.8" hidden="false" customHeight="false" outlineLevel="0" collapsed="false">
      <c r="A51" s="1" t="n">
        <v>19</v>
      </c>
      <c r="B51" s="4" t="str">
        <f aca="false">IF(LEFT(E51,2)="S1","01.11.2024",IF(LEFT(E51,2)="S2","24.07.2025",IF(LEFT(E51,2)="S3","14.04.2025",IF(LEFT(E51,2)="S4","04.12.2025","04.12.2025"))))</f>
        <v>04.12.2025</v>
      </c>
      <c r="C51" s="4" t="str">
        <f aca="false">IF(LEFT(E51,2)="S5","Spritz","Standard")</f>
        <v>Standard</v>
      </c>
      <c r="D51" s="4" t="n">
        <v>1</v>
      </c>
      <c r="E51" s="4" t="s">
        <v>24</v>
      </c>
      <c r="F51" s="1" t="s">
        <v>23</v>
      </c>
      <c r="G51" s="1" t="n">
        <v>489.3</v>
      </c>
      <c r="H51" s="1" t="n">
        <v>475.2</v>
      </c>
      <c r="I51" s="1" t="n">
        <v>23</v>
      </c>
      <c r="J51" s="1" t="n">
        <v>1</v>
      </c>
      <c r="K51" s="1" t="n">
        <v>0.631931</v>
      </c>
      <c r="L51" s="1" t="n">
        <v>0.0625</v>
      </c>
      <c r="M51" s="1" t="n">
        <v>9.891</v>
      </c>
      <c r="N51" s="1" t="n">
        <v>9.513</v>
      </c>
      <c r="O51" s="1" t="n">
        <v>2.707</v>
      </c>
      <c r="P51" s="1" t="n">
        <v>1.574</v>
      </c>
      <c r="Q51" s="1" t="n">
        <v>15.88</v>
      </c>
      <c r="R51" s="1" t="n">
        <v>-0.1743</v>
      </c>
      <c r="S51" s="1" t="n">
        <v>0.5</v>
      </c>
      <c r="T51" s="5" t="n">
        <v>1.047E-006</v>
      </c>
      <c r="U51" s="5" t="n">
        <v>0.0002107</v>
      </c>
      <c r="V51" s="1" t="n">
        <v>2.6</v>
      </c>
    </row>
    <row r="52" customFormat="false" ht="12.8" hidden="false" customHeight="false" outlineLevel="0" collapsed="false">
      <c r="A52" s="1" t="n">
        <v>20</v>
      </c>
      <c r="B52" s="4" t="str">
        <f aca="false">IF(LEFT(E52,2)="S1","01.11.2024",IF(LEFT(E52,2)="S2","24.07.2025",IF(LEFT(E52,2)="S3","14.04.2025",IF(LEFT(E52,2)="S4","04.12.2025","04.12.2025"))))</f>
        <v>04.12.2025</v>
      </c>
      <c r="C52" s="4" t="str">
        <f aca="false">IF(LEFT(E52,2)="S5","Spritz","Standard")</f>
        <v>Standard</v>
      </c>
      <c r="D52" s="4" t="n">
        <v>1</v>
      </c>
      <c r="E52" s="4" t="s">
        <v>24</v>
      </c>
      <c r="F52" s="1" t="s">
        <v>23</v>
      </c>
      <c r="G52" s="1" t="n">
        <v>514.3</v>
      </c>
      <c r="H52" s="1" t="n">
        <v>500.3</v>
      </c>
      <c r="I52" s="1" t="n">
        <v>23</v>
      </c>
      <c r="J52" s="1" t="n">
        <v>1</v>
      </c>
      <c r="K52" s="1" t="n">
        <v>0.793885</v>
      </c>
      <c r="L52" s="1" t="n">
        <v>0.07296</v>
      </c>
      <c r="M52" s="1" t="n">
        <v>9.19</v>
      </c>
      <c r="N52" s="1" t="n">
        <v>8.801</v>
      </c>
      <c r="O52" s="1" t="n">
        <v>2.644</v>
      </c>
      <c r="P52" s="1" t="n">
        <v>1.463</v>
      </c>
      <c r="Q52" s="1" t="n">
        <v>16.72</v>
      </c>
      <c r="R52" s="1" t="n">
        <v>-0.1749</v>
      </c>
      <c r="S52" s="1" t="n">
        <v>0.5</v>
      </c>
      <c r="T52" s="5" t="n">
        <v>1.222E-006</v>
      </c>
      <c r="U52" s="5" t="n">
        <v>0.0002646</v>
      </c>
      <c r="V52" s="1" t="n">
        <v>2.956</v>
      </c>
    </row>
    <row r="53" customFormat="false" ht="12.8" hidden="false" customHeight="false" outlineLevel="0" collapsed="false">
      <c r="A53" s="1" t="n">
        <v>21</v>
      </c>
      <c r="B53" s="4" t="str">
        <f aca="false">IF(LEFT(E53,2)="S1","01.11.2024",IF(LEFT(E53,2)="S2","24.07.2025",IF(LEFT(E53,2)="S3","14.04.2025",IF(LEFT(E53,2)="S4","04.12.2025","04.12.2025"))))</f>
        <v>04.12.2025</v>
      </c>
      <c r="C53" s="4" t="str">
        <f aca="false">IF(LEFT(E53,2)="S5","Spritz","Standard")</f>
        <v>Standard</v>
      </c>
      <c r="D53" s="4" t="n">
        <v>1</v>
      </c>
      <c r="E53" s="4" t="s">
        <v>24</v>
      </c>
      <c r="F53" s="1" t="s">
        <v>23</v>
      </c>
      <c r="G53" s="1" t="n">
        <v>539.3</v>
      </c>
      <c r="H53" s="1" t="n">
        <v>525.3</v>
      </c>
      <c r="I53" s="1" t="n">
        <v>23</v>
      </c>
      <c r="J53" s="1" t="n">
        <v>1</v>
      </c>
      <c r="K53" s="1" t="n">
        <v>1.00123</v>
      </c>
      <c r="L53" s="1" t="n">
        <v>0.08477</v>
      </c>
      <c r="M53" s="1" t="n">
        <v>8.466</v>
      </c>
      <c r="N53" s="1" t="n">
        <v>8.065</v>
      </c>
      <c r="O53" s="1" t="n">
        <v>2.576</v>
      </c>
      <c r="P53" s="1" t="n">
        <v>1.347</v>
      </c>
      <c r="Q53" s="1" t="n">
        <v>17.72</v>
      </c>
      <c r="R53" s="1" t="n">
        <v>-0.1746</v>
      </c>
      <c r="S53" s="1" t="n">
        <v>0.5</v>
      </c>
      <c r="T53" s="5" t="n">
        <v>1.42E-006</v>
      </c>
      <c r="U53" s="5" t="n">
        <v>0.0003338</v>
      </c>
      <c r="V53" s="1" t="n">
        <v>3.25</v>
      </c>
    </row>
    <row r="54" customFormat="false" ht="12.8" hidden="false" customHeight="false" outlineLevel="0" collapsed="false">
      <c r="A54" s="1" t="n">
        <v>22</v>
      </c>
      <c r="B54" s="4" t="str">
        <f aca="false">IF(LEFT(E54,2)="S1","01.11.2024",IF(LEFT(E54,2)="S2","24.07.2025",IF(LEFT(E54,2)="S3","14.04.2025",IF(LEFT(E54,2)="S4","04.12.2025","04.12.2025"))))</f>
        <v>04.12.2025</v>
      </c>
      <c r="C54" s="4" t="str">
        <f aca="false">IF(LEFT(E54,2)="S5","Spritz","Standard")</f>
        <v>Standard</v>
      </c>
      <c r="D54" s="4" t="n">
        <v>1</v>
      </c>
      <c r="E54" s="4" t="s">
        <v>24</v>
      </c>
      <c r="F54" s="1" t="s">
        <v>23</v>
      </c>
      <c r="G54" s="1" t="n">
        <v>564.3</v>
      </c>
      <c r="H54" s="1" t="n">
        <v>550.3</v>
      </c>
      <c r="I54" s="1" t="n">
        <v>23</v>
      </c>
      <c r="J54" s="1" t="n">
        <v>1</v>
      </c>
      <c r="K54" s="1" t="n">
        <v>1.25968</v>
      </c>
      <c r="L54" s="1" t="n">
        <v>0.09808</v>
      </c>
      <c r="M54" s="1" t="n">
        <v>7.786</v>
      </c>
      <c r="N54" s="1" t="n">
        <v>7.368</v>
      </c>
      <c r="O54" s="1" t="n">
        <v>2.517</v>
      </c>
      <c r="P54" s="1" t="n">
        <v>1.239</v>
      </c>
      <c r="Q54" s="1" t="n">
        <v>18.86</v>
      </c>
      <c r="R54" s="1" t="n">
        <v>-0.1754</v>
      </c>
      <c r="S54" s="1" t="n">
        <v>0.5</v>
      </c>
      <c r="T54" s="5" t="n">
        <v>1.643E-006</v>
      </c>
      <c r="U54" s="5" t="n">
        <v>0.0004199</v>
      </c>
      <c r="V54" s="1" t="n">
        <v>3.328</v>
      </c>
    </row>
    <row r="55" customFormat="false" ht="12.8" hidden="false" customHeight="false" outlineLevel="0" collapsed="false">
      <c r="A55" s="1" t="n">
        <v>23</v>
      </c>
      <c r="B55" s="4" t="str">
        <f aca="false">IF(LEFT(E55,2)="S1","01.11.2024",IF(LEFT(E55,2)="S2","24.07.2025",IF(LEFT(E55,2)="S3","14.04.2025",IF(LEFT(E55,2)="S4","04.12.2025","04.12.2025"))))</f>
        <v>04.12.2025</v>
      </c>
      <c r="C55" s="4" t="str">
        <f aca="false">IF(LEFT(E55,2)="S5","Spritz","Standard")</f>
        <v>Standard</v>
      </c>
      <c r="D55" s="4" t="n">
        <v>1</v>
      </c>
      <c r="E55" s="4" t="s">
        <v>24</v>
      </c>
      <c r="F55" s="1" t="s">
        <v>23</v>
      </c>
      <c r="G55" s="1" t="n">
        <v>589.3</v>
      </c>
      <c r="H55" s="1" t="n">
        <v>575.3</v>
      </c>
      <c r="I55" s="1" t="n">
        <v>23</v>
      </c>
      <c r="J55" s="1" t="n">
        <v>1</v>
      </c>
      <c r="K55" s="1" t="n">
        <v>1.58466</v>
      </c>
      <c r="L55" s="1" t="n">
        <v>0.1125</v>
      </c>
      <c r="M55" s="1" t="n">
        <v>7.102</v>
      </c>
      <c r="N55" s="1" t="n">
        <v>6.668</v>
      </c>
      <c r="O55" s="1" t="n">
        <v>2.445</v>
      </c>
      <c r="P55" s="1" t="n">
        <v>1.13</v>
      </c>
      <c r="Q55" s="1" t="n">
        <v>20.14</v>
      </c>
      <c r="R55" s="1" t="n">
        <v>-0.1748</v>
      </c>
      <c r="S55" s="1" t="n">
        <v>0.5</v>
      </c>
      <c r="T55" s="5" t="n">
        <v>1.885E-006</v>
      </c>
      <c r="U55" s="5" t="n">
        <v>0.0005282</v>
      </c>
      <c r="V55" s="1" t="n">
        <v>4.192</v>
      </c>
    </row>
    <row r="56" customFormat="false" ht="12.8" hidden="false" customHeight="false" outlineLevel="0" collapsed="false">
      <c r="A56" s="1" t="n">
        <v>24</v>
      </c>
      <c r="B56" s="4" t="str">
        <f aca="false">IF(LEFT(E56,2)="S1","01.11.2024",IF(LEFT(E56,2)="S2","24.07.2025",IF(LEFT(E56,2)="S3","14.04.2025",IF(LEFT(E56,2)="S4","04.12.2025","04.12.2025"))))</f>
        <v>04.12.2025</v>
      </c>
      <c r="C56" s="4" t="str">
        <f aca="false">IF(LEFT(E56,2)="S5","Spritz","Standard")</f>
        <v>Standard</v>
      </c>
      <c r="D56" s="4" t="n">
        <v>1</v>
      </c>
      <c r="E56" s="4" t="s">
        <v>24</v>
      </c>
      <c r="F56" s="1" t="s">
        <v>23</v>
      </c>
      <c r="G56" s="1" t="n">
        <v>614.3</v>
      </c>
      <c r="H56" s="1" t="n">
        <v>600.3</v>
      </c>
      <c r="I56" s="1" t="n">
        <v>23</v>
      </c>
      <c r="J56" s="1" t="n">
        <v>1</v>
      </c>
      <c r="K56" s="1" t="n">
        <v>1.9976</v>
      </c>
      <c r="L56" s="1" t="n">
        <v>0.1283</v>
      </c>
      <c r="M56" s="1" t="n">
        <v>6.422</v>
      </c>
      <c r="N56" s="1" t="n">
        <v>5.968</v>
      </c>
      <c r="O56" s="1" t="n">
        <v>2.371</v>
      </c>
      <c r="P56" s="1" t="n">
        <v>1.022</v>
      </c>
      <c r="Q56" s="1" t="n">
        <v>21.66</v>
      </c>
      <c r="R56" s="1" t="n">
        <v>-0.1751</v>
      </c>
      <c r="S56" s="1" t="n">
        <v>0.5</v>
      </c>
      <c r="T56" s="5" t="n">
        <v>2.149E-006</v>
      </c>
      <c r="U56" s="5" t="n">
        <v>0.0006659</v>
      </c>
      <c r="V56" s="1" t="n">
        <v>5.049</v>
      </c>
    </row>
    <row r="57" customFormat="false" ht="12.8" hidden="false" customHeight="false" outlineLevel="0" collapsed="false">
      <c r="A57" s="1" t="n">
        <v>25</v>
      </c>
      <c r="B57" s="4" t="str">
        <f aca="false">IF(LEFT(E57,2)="S1","01.11.2024",IF(LEFT(E57,2)="S2","24.07.2025",IF(LEFT(E57,2)="S3","14.04.2025",IF(LEFT(E57,2)="S4","04.12.2025","04.12.2025"))))</f>
        <v>04.12.2025</v>
      </c>
      <c r="C57" s="4" t="str">
        <f aca="false">IF(LEFT(E57,2)="S5","Spritz","Standard")</f>
        <v>Standard</v>
      </c>
      <c r="D57" s="4" t="n">
        <v>1</v>
      </c>
      <c r="E57" s="4" t="s">
        <v>24</v>
      </c>
      <c r="F57" s="1" t="s">
        <v>23</v>
      </c>
      <c r="G57" s="1" t="n">
        <v>639.4</v>
      </c>
      <c r="H57" s="1" t="n">
        <v>625.3</v>
      </c>
      <c r="I57" s="1" t="n">
        <v>23</v>
      </c>
      <c r="J57" s="1" t="n">
        <v>1</v>
      </c>
      <c r="K57" s="1" t="n">
        <v>2.51422</v>
      </c>
      <c r="L57" s="1" t="n">
        <v>0.1437</v>
      </c>
      <c r="M57" s="1" t="n">
        <v>5.716</v>
      </c>
      <c r="N57" s="1" t="n">
        <v>5.241</v>
      </c>
      <c r="O57" s="1" t="n">
        <v>2.281</v>
      </c>
      <c r="P57" s="1" t="n">
        <v>0.9097</v>
      </c>
      <c r="Q57" s="1" t="n">
        <v>23.52</v>
      </c>
      <c r="R57" s="1" t="n">
        <v>-0.1753</v>
      </c>
      <c r="S57" s="1" t="n">
        <v>0.5</v>
      </c>
      <c r="T57" s="5" t="n">
        <v>2.407E-006</v>
      </c>
      <c r="U57" s="5" t="n">
        <v>0.0008381</v>
      </c>
      <c r="V57" s="1" t="n">
        <v>5.986</v>
      </c>
    </row>
    <row r="58" customFormat="false" ht="12.8" hidden="false" customHeight="false" outlineLevel="0" collapsed="false">
      <c r="A58" s="1" t="n">
        <v>26</v>
      </c>
      <c r="B58" s="4" t="str">
        <f aca="false">IF(LEFT(E58,2)="S1","01.11.2024",IF(LEFT(E58,2)="S2","24.07.2025",IF(LEFT(E58,2)="S3","14.04.2025",IF(LEFT(E58,2)="S4","04.12.2025","04.12.2025"))))</f>
        <v>04.12.2025</v>
      </c>
      <c r="C58" s="4" t="str">
        <f aca="false">IF(LEFT(E58,2)="S5","Spritz","Standard")</f>
        <v>Standard</v>
      </c>
      <c r="D58" s="4" t="n">
        <v>1</v>
      </c>
      <c r="E58" s="4" t="s">
        <v>24</v>
      </c>
      <c r="F58" s="1" t="s">
        <v>23</v>
      </c>
      <c r="G58" s="1" t="n">
        <v>664.4</v>
      </c>
      <c r="H58" s="1" t="n">
        <v>650.3</v>
      </c>
      <c r="I58" s="1" t="n">
        <v>23</v>
      </c>
      <c r="J58" s="1" t="n">
        <v>1</v>
      </c>
      <c r="K58" s="1" t="n">
        <v>3.16239</v>
      </c>
      <c r="L58" s="1" t="n">
        <v>0.1594</v>
      </c>
      <c r="M58" s="1" t="n">
        <v>5.042</v>
      </c>
      <c r="N58" s="1" t="n">
        <v>4.537</v>
      </c>
      <c r="O58" s="1" t="n">
        <v>2.199</v>
      </c>
      <c r="P58" s="1" t="n">
        <v>0.8024</v>
      </c>
      <c r="Q58" s="1" t="n">
        <v>25.86</v>
      </c>
      <c r="R58" s="1" t="n">
        <v>-0.1755</v>
      </c>
      <c r="S58" s="1" t="n">
        <v>0.5</v>
      </c>
      <c r="T58" s="5" t="n">
        <v>2.671E-006</v>
      </c>
      <c r="U58" s="5" t="n">
        <v>0.001054</v>
      </c>
      <c r="V58" s="1" t="n">
        <v>7.939</v>
      </c>
    </row>
    <row r="59" customFormat="false" ht="12.8" hidden="false" customHeight="false" outlineLevel="0" collapsed="false">
      <c r="A59" s="1" t="n">
        <v>27</v>
      </c>
      <c r="B59" s="4" t="str">
        <f aca="false">IF(LEFT(E59,2)="S1","01.11.2024",IF(LEFT(E59,2)="S2","24.07.2025",IF(LEFT(E59,2)="S3","14.04.2025",IF(LEFT(E59,2)="S4","04.12.2025","04.12.2025"))))</f>
        <v>04.12.2025</v>
      </c>
      <c r="C59" s="4" t="str">
        <f aca="false">IF(LEFT(E59,2)="S5","Spritz","Standard")</f>
        <v>Standard</v>
      </c>
      <c r="D59" s="4" t="n">
        <v>1</v>
      </c>
      <c r="E59" s="4" t="s">
        <v>24</v>
      </c>
      <c r="F59" s="1" t="s">
        <v>23</v>
      </c>
      <c r="G59" s="1" t="n">
        <v>689.4</v>
      </c>
      <c r="H59" s="1" t="n">
        <v>675.4</v>
      </c>
      <c r="I59" s="1" t="n">
        <v>23</v>
      </c>
      <c r="J59" s="1" t="n">
        <v>1</v>
      </c>
      <c r="K59" s="1" t="n">
        <v>3.98496</v>
      </c>
      <c r="L59" s="1" t="n">
        <v>0.1735</v>
      </c>
      <c r="M59" s="1" t="n">
        <v>4.355</v>
      </c>
      <c r="N59" s="1" t="n">
        <v>3.806</v>
      </c>
      <c r="O59" s="1" t="n">
        <v>2.117</v>
      </c>
      <c r="P59" s="1" t="n">
        <v>0.6931</v>
      </c>
      <c r="Q59" s="1" t="n">
        <v>29.08</v>
      </c>
      <c r="R59" s="1" t="n">
        <v>-0.1755</v>
      </c>
      <c r="S59" s="1" t="n">
        <v>0.5</v>
      </c>
      <c r="T59" s="5" t="n">
        <v>2.907E-006</v>
      </c>
      <c r="U59" s="5" t="n">
        <v>0.001328</v>
      </c>
      <c r="V59" s="1" t="n">
        <v>9.165</v>
      </c>
    </row>
    <row r="60" customFormat="false" ht="12.8" hidden="false" customHeight="false" outlineLevel="0" collapsed="false">
      <c r="A60" s="1" t="n">
        <v>28</v>
      </c>
      <c r="B60" s="4" t="str">
        <f aca="false">IF(LEFT(E60,2)="S1","01.11.2024",IF(LEFT(E60,2)="S2","24.07.2025",IF(LEFT(E60,2)="S3","14.04.2025",IF(LEFT(E60,2)="S4","04.12.2025","04.12.2025"))))</f>
        <v>04.12.2025</v>
      </c>
      <c r="C60" s="4" t="str">
        <f aca="false">IF(LEFT(E60,2)="S5","Spritz","Standard")</f>
        <v>Standard</v>
      </c>
      <c r="D60" s="4" t="n">
        <v>1</v>
      </c>
      <c r="E60" s="4" t="s">
        <v>24</v>
      </c>
      <c r="F60" s="1" t="s">
        <v>23</v>
      </c>
      <c r="G60" s="1" t="n">
        <v>714.4</v>
      </c>
      <c r="H60" s="1" t="n">
        <v>700.4</v>
      </c>
      <c r="I60" s="1" t="n">
        <v>23</v>
      </c>
      <c r="J60" s="1" t="n">
        <v>1</v>
      </c>
      <c r="K60" s="1" t="n">
        <v>5.01299</v>
      </c>
      <c r="L60" s="1" t="n">
        <v>0.1862</v>
      </c>
      <c r="M60" s="1" t="n">
        <v>3.715</v>
      </c>
      <c r="N60" s="1" t="n">
        <v>3.146</v>
      </c>
      <c r="O60" s="1" t="n">
        <v>1.975</v>
      </c>
      <c r="P60" s="1" t="n">
        <v>0.5913</v>
      </c>
      <c r="Q60" s="1" t="n">
        <v>32.12</v>
      </c>
      <c r="R60" s="1" t="n">
        <v>-0.1748</v>
      </c>
      <c r="S60" s="1" t="n">
        <v>0.5</v>
      </c>
      <c r="T60" s="5" t="n">
        <v>3.12E-006</v>
      </c>
      <c r="U60" s="5" t="n">
        <v>0.001671</v>
      </c>
      <c r="V60" s="1" t="n">
        <v>10.13</v>
      </c>
    </row>
    <row r="61" customFormat="false" ht="12.8" hidden="false" customHeight="false" outlineLevel="0" collapsed="false">
      <c r="A61" s="1" t="n">
        <v>29</v>
      </c>
      <c r="B61" s="4" t="str">
        <f aca="false">IF(LEFT(E61,2)="S1","01.11.2024",IF(LEFT(E61,2)="S2","24.07.2025",IF(LEFT(E61,2)="S3","14.04.2025",IF(LEFT(E61,2)="S4","04.12.2025","04.12.2025"))))</f>
        <v>04.12.2025</v>
      </c>
      <c r="C61" s="4" t="str">
        <f aca="false">IF(LEFT(E61,2)="S5","Spritz","Standard")</f>
        <v>Standard</v>
      </c>
      <c r="D61" s="4" t="n">
        <v>1</v>
      </c>
      <c r="E61" s="4" t="s">
        <v>24</v>
      </c>
      <c r="F61" s="1" t="s">
        <v>23</v>
      </c>
      <c r="G61" s="1" t="n">
        <v>739.4</v>
      </c>
      <c r="H61" s="1" t="n">
        <v>725.4</v>
      </c>
      <c r="I61" s="1" t="n">
        <v>23</v>
      </c>
      <c r="J61" s="1" t="n">
        <v>1</v>
      </c>
      <c r="K61" s="1" t="n">
        <v>6.30819</v>
      </c>
      <c r="L61" s="1" t="n">
        <v>0.2004</v>
      </c>
      <c r="M61" s="1" t="n">
        <v>3.177</v>
      </c>
      <c r="N61" s="1" t="n">
        <v>2.589</v>
      </c>
      <c r="O61" s="1" t="n">
        <v>1.841</v>
      </c>
      <c r="P61" s="1" t="n">
        <v>0.5057</v>
      </c>
      <c r="Q61" s="1" t="n">
        <v>35.41</v>
      </c>
      <c r="R61" s="1" t="n">
        <v>-0.176</v>
      </c>
      <c r="S61" s="1" t="n">
        <v>0.5</v>
      </c>
      <c r="T61" s="5" t="n">
        <v>3.358E-006</v>
      </c>
      <c r="U61" s="5" t="n">
        <v>0.002103</v>
      </c>
      <c r="V61" s="1" t="n">
        <v>12.55</v>
      </c>
    </row>
    <row r="62" customFormat="false" ht="12.8" hidden="false" customHeight="false" outlineLevel="0" collapsed="false">
      <c r="A62" s="1" t="n">
        <v>30</v>
      </c>
      <c r="B62" s="4" t="str">
        <f aca="false">IF(LEFT(E62,2)="S1","01.11.2024",IF(LEFT(E62,2)="S2","24.07.2025",IF(LEFT(E62,2)="S3","14.04.2025",IF(LEFT(E62,2)="S4","04.12.2025","04.12.2025"))))</f>
        <v>04.12.2025</v>
      </c>
      <c r="C62" s="4" t="str">
        <f aca="false">IF(LEFT(E62,2)="S5","Spritz","Standard")</f>
        <v>Standard</v>
      </c>
      <c r="D62" s="4" t="n">
        <v>1</v>
      </c>
      <c r="E62" s="4" t="s">
        <v>24</v>
      </c>
      <c r="F62" s="1" t="s">
        <v>23</v>
      </c>
      <c r="G62" s="1" t="n">
        <v>764.4</v>
      </c>
      <c r="H62" s="1" t="n">
        <v>750.4</v>
      </c>
      <c r="I62" s="1" t="n">
        <v>23</v>
      </c>
      <c r="J62" s="1" t="n">
        <v>1</v>
      </c>
      <c r="K62" s="1" t="n">
        <v>7.94815</v>
      </c>
      <c r="L62" s="1" t="n">
        <v>0.208</v>
      </c>
      <c r="M62" s="1" t="n">
        <v>2.616</v>
      </c>
      <c r="N62" s="1" t="n">
        <v>1.99</v>
      </c>
      <c r="O62" s="1" t="n">
        <v>1.698</v>
      </c>
      <c r="P62" s="1" t="n">
        <v>0.4164</v>
      </c>
      <c r="Q62" s="1" t="n">
        <v>40.48</v>
      </c>
      <c r="R62" s="1" t="n">
        <v>-0.1752</v>
      </c>
      <c r="S62" s="1" t="n">
        <v>0.5</v>
      </c>
      <c r="T62" s="5" t="n">
        <v>3.484E-006</v>
      </c>
      <c r="U62" s="5" t="n">
        <v>0.00265</v>
      </c>
      <c r="V62" s="1" t="n">
        <v>13.58</v>
      </c>
    </row>
    <row r="63" customFormat="false" ht="12.8" hidden="false" customHeight="false" outlineLevel="0" collapsed="false">
      <c r="A63" s="1" t="n">
        <v>31</v>
      </c>
      <c r="B63" s="4" t="str">
        <f aca="false">IF(LEFT(E63,2)="S1","01.11.2024",IF(LEFT(E63,2)="S2","24.07.2025",IF(LEFT(E63,2)="S3","14.04.2025",IF(LEFT(E63,2)="S4","04.12.2025","04.12.2025"))))</f>
        <v>04.12.2025</v>
      </c>
      <c r="C63" s="4" t="str">
        <f aca="false">IF(LEFT(E63,2)="S5","Spritz","Standard")</f>
        <v>Standard</v>
      </c>
      <c r="D63" s="4" t="n">
        <v>1</v>
      </c>
      <c r="E63" s="4" t="s">
        <v>24</v>
      </c>
      <c r="F63" s="1" t="s">
        <v>23</v>
      </c>
      <c r="G63" s="1" t="n">
        <v>789.5</v>
      </c>
      <c r="H63" s="1" t="n">
        <v>775.4</v>
      </c>
      <c r="I63" s="1" t="n">
        <v>23</v>
      </c>
      <c r="J63" s="1" t="n">
        <v>1</v>
      </c>
      <c r="K63" s="1" t="n">
        <v>10.0092</v>
      </c>
      <c r="L63" s="1" t="n">
        <v>0.221</v>
      </c>
      <c r="M63" s="1" t="n">
        <v>2.208</v>
      </c>
      <c r="N63" s="1" t="n">
        <v>1.592</v>
      </c>
      <c r="O63" s="1" t="n">
        <v>1.53</v>
      </c>
      <c r="P63" s="1" t="n">
        <v>0.3515</v>
      </c>
      <c r="Q63" s="1" t="n">
        <v>43.86</v>
      </c>
      <c r="R63" s="1" t="n">
        <v>-0.1752</v>
      </c>
      <c r="S63" s="1" t="n">
        <v>0.5</v>
      </c>
      <c r="T63" s="5" t="n">
        <v>3.703E-006</v>
      </c>
      <c r="U63" s="5" t="n">
        <v>0.003337</v>
      </c>
      <c r="V63" s="1" t="n">
        <v>3.388</v>
      </c>
    </row>
    <row r="64" customFormat="false" ht="12.8" hidden="false" customHeight="false" outlineLevel="0" collapsed="false">
      <c r="A64" s="1" t="n">
        <v>1</v>
      </c>
      <c r="B64" s="4" t="str">
        <f aca="false">IF(LEFT(E64,2)="S1","01.11.2024",IF(LEFT(E64,2)="S2","24.07.2025",IF(LEFT(E64,2)="S3","14.04.2025",IF(LEFT(E64,2)="S4","04.12.2025","04.12.2025"))))</f>
        <v>04.12.2025</v>
      </c>
      <c r="C64" s="4" t="str">
        <f aca="false">IF(LEFT(E64,2)="S5","Spritz","Standard")</f>
        <v>Standard</v>
      </c>
      <c r="D64" s="4" t="n">
        <v>2</v>
      </c>
      <c r="E64" s="4" t="s">
        <v>25</v>
      </c>
      <c r="F64" s="1" t="s">
        <v>23</v>
      </c>
      <c r="G64" s="1" t="n">
        <v>38.54</v>
      </c>
      <c r="H64" s="1" t="n">
        <v>25</v>
      </c>
      <c r="I64" s="1" t="n">
        <v>23.04</v>
      </c>
      <c r="J64" s="1" t="n">
        <v>1</v>
      </c>
      <c r="K64" s="5" t="n">
        <v>0.00956371</v>
      </c>
      <c r="L64" s="5" t="n">
        <v>0.006516</v>
      </c>
      <c r="M64" s="1" t="n">
        <v>68.13</v>
      </c>
      <c r="N64" s="1" t="n">
        <v>66.93</v>
      </c>
      <c r="O64" s="1" t="n">
        <v>12.77</v>
      </c>
      <c r="P64" s="1" t="n">
        <v>10.84</v>
      </c>
      <c r="Q64" s="1" t="n">
        <v>10.8</v>
      </c>
      <c r="R64" s="1" t="n">
        <v>-0.04267</v>
      </c>
      <c r="S64" s="1" t="n">
        <v>0.5</v>
      </c>
      <c r="T64" s="5" t="n">
        <v>1.092E-007</v>
      </c>
      <c r="U64" s="5" t="n">
        <v>3.188E-006</v>
      </c>
      <c r="V64" s="1" t="n">
        <v>0.6338</v>
      </c>
    </row>
    <row r="65" customFormat="false" ht="12.8" hidden="false" customHeight="false" outlineLevel="0" collapsed="false">
      <c r="A65" s="1" t="n">
        <v>2</v>
      </c>
      <c r="B65" s="4" t="str">
        <f aca="false">IF(LEFT(E65,2)="S1","01.11.2024",IF(LEFT(E65,2)="S2","24.07.2025",IF(LEFT(E65,2)="S3","14.04.2025",IF(LEFT(E65,2)="S4","04.12.2025","04.12.2025"))))</f>
        <v>04.12.2025</v>
      </c>
      <c r="C65" s="4" t="str">
        <f aca="false">IF(LEFT(E65,2)="S5","Spritz","Standard")</f>
        <v>Standard</v>
      </c>
      <c r="D65" s="4" t="n">
        <v>2</v>
      </c>
      <c r="E65" s="4" t="s">
        <v>25</v>
      </c>
      <c r="F65" s="1" t="s">
        <v>23</v>
      </c>
      <c r="G65" s="1" t="n">
        <v>63.55</v>
      </c>
      <c r="H65" s="1" t="n">
        <v>50.01</v>
      </c>
      <c r="I65" s="1" t="n">
        <v>23.03</v>
      </c>
      <c r="J65" s="1" t="n">
        <v>1</v>
      </c>
      <c r="K65" s="1" t="n">
        <v>0.0113493</v>
      </c>
      <c r="L65" s="5" t="n">
        <v>0.007818</v>
      </c>
      <c r="M65" s="1" t="n">
        <v>68.89</v>
      </c>
      <c r="N65" s="1" t="n">
        <v>67.81</v>
      </c>
      <c r="O65" s="1" t="n">
        <v>12.15</v>
      </c>
      <c r="P65" s="1" t="n">
        <v>10.96</v>
      </c>
      <c r="Q65" s="1" t="n">
        <v>10.16</v>
      </c>
      <c r="R65" s="1" t="n">
        <v>-0.04304</v>
      </c>
      <c r="S65" s="1" t="n">
        <v>0.5</v>
      </c>
      <c r="T65" s="5" t="n">
        <v>1.31E-007</v>
      </c>
      <c r="U65" s="5" t="n">
        <v>3.783E-006</v>
      </c>
      <c r="V65" s="1" t="n">
        <v>0.3659</v>
      </c>
    </row>
    <row r="66" customFormat="false" ht="12.8" hidden="false" customHeight="false" outlineLevel="0" collapsed="false">
      <c r="A66" s="1" t="n">
        <v>3</v>
      </c>
      <c r="B66" s="4" t="str">
        <f aca="false">IF(LEFT(E66,2)="S1","01.11.2024",IF(LEFT(E66,2)="S2","24.07.2025",IF(LEFT(E66,2)="S3","14.04.2025",IF(LEFT(E66,2)="S4","04.12.2025","04.12.2025"))))</f>
        <v>04.12.2025</v>
      </c>
      <c r="C66" s="4" t="str">
        <f aca="false">IF(LEFT(E66,2)="S5","Spritz","Standard")</f>
        <v>Standard</v>
      </c>
      <c r="D66" s="4" t="n">
        <v>2</v>
      </c>
      <c r="E66" s="4" t="s">
        <v>25</v>
      </c>
      <c r="F66" s="1" t="s">
        <v>23</v>
      </c>
      <c r="G66" s="1" t="n">
        <v>88.56</v>
      </c>
      <c r="H66" s="1" t="n">
        <v>75.02</v>
      </c>
      <c r="I66" s="1" t="n">
        <v>23.01</v>
      </c>
      <c r="J66" s="1" t="n">
        <v>1</v>
      </c>
      <c r="K66" s="1" t="n">
        <v>0.0160722</v>
      </c>
      <c r="L66" s="1" t="n">
        <v>0.01112</v>
      </c>
      <c r="M66" s="1" t="n">
        <v>69.19</v>
      </c>
      <c r="N66" s="1" t="n">
        <v>68.17</v>
      </c>
      <c r="O66" s="1" t="n">
        <v>11.81</v>
      </c>
      <c r="P66" s="1" t="n">
        <v>11.01</v>
      </c>
      <c r="Q66" s="1" t="n">
        <v>9.83</v>
      </c>
      <c r="R66" s="1" t="n">
        <v>-0.04352</v>
      </c>
      <c r="S66" s="1" t="n">
        <v>0.5</v>
      </c>
      <c r="T66" s="5" t="n">
        <v>1.863E-007</v>
      </c>
      <c r="U66" s="5" t="n">
        <v>5.358E-006</v>
      </c>
      <c r="V66" s="1" t="n">
        <v>1.185</v>
      </c>
    </row>
    <row r="67" customFormat="false" ht="12.8" hidden="false" customHeight="false" outlineLevel="0" collapsed="false">
      <c r="A67" s="1" t="n">
        <v>4</v>
      </c>
      <c r="B67" s="4" t="str">
        <f aca="false">IF(LEFT(E67,2)="S1","01.11.2024",IF(LEFT(E67,2)="S2","24.07.2025",IF(LEFT(E67,2)="S3","14.04.2025",IF(LEFT(E67,2)="S4","04.12.2025","04.12.2025"))))</f>
        <v>04.12.2025</v>
      </c>
      <c r="C67" s="4" t="str">
        <f aca="false">IF(LEFT(E67,2)="S5","Spritz","Standard")</f>
        <v>Standard</v>
      </c>
      <c r="D67" s="4" t="n">
        <v>2</v>
      </c>
      <c r="E67" s="4" t="s">
        <v>25</v>
      </c>
      <c r="F67" s="1" t="s">
        <v>23</v>
      </c>
      <c r="G67" s="1" t="n">
        <v>113.6</v>
      </c>
      <c r="H67" s="1" t="n">
        <v>100</v>
      </c>
      <c r="I67" s="1" t="n">
        <v>23</v>
      </c>
      <c r="J67" s="1" t="n">
        <v>1</v>
      </c>
      <c r="K67" s="1" t="n">
        <v>0.0196058</v>
      </c>
      <c r="L67" s="1" t="n">
        <v>0.01356</v>
      </c>
      <c r="M67" s="1" t="n">
        <v>69.16</v>
      </c>
      <c r="N67" s="1" t="n">
        <v>68.52</v>
      </c>
      <c r="O67" s="1" t="n">
        <v>9.384</v>
      </c>
      <c r="P67" s="1" t="n">
        <v>11.01</v>
      </c>
      <c r="Q67" s="1" t="n">
        <v>7.8</v>
      </c>
      <c r="R67" s="1" t="n">
        <v>-0.04313</v>
      </c>
      <c r="S67" s="1" t="n">
        <v>0.5</v>
      </c>
      <c r="T67" s="5" t="n">
        <v>2.272E-007</v>
      </c>
      <c r="U67" s="5" t="n">
        <v>6.536E-006</v>
      </c>
      <c r="V67" s="1" t="n">
        <v>0.7479</v>
      </c>
    </row>
    <row r="68" customFormat="false" ht="12.8" hidden="false" customHeight="false" outlineLevel="0" collapsed="false">
      <c r="A68" s="1" t="n">
        <v>5</v>
      </c>
      <c r="B68" s="4" t="str">
        <f aca="false">IF(LEFT(E68,2)="S1","01.11.2024",IF(LEFT(E68,2)="S2","24.07.2025",IF(LEFT(E68,2)="S3","14.04.2025",IF(LEFT(E68,2)="S4","04.12.2025","04.12.2025"))))</f>
        <v>04.12.2025</v>
      </c>
      <c r="C68" s="4" t="str">
        <f aca="false">IF(LEFT(E68,2)="S5","Spritz","Standard")</f>
        <v>Standard</v>
      </c>
      <c r="D68" s="4" t="n">
        <v>2</v>
      </c>
      <c r="E68" s="4" t="s">
        <v>25</v>
      </c>
      <c r="F68" s="1" t="s">
        <v>23</v>
      </c>
      <c r="G68" s="1" t="n">
        <v>138.6</v>
      </c>
      <c r="H68" s="1" t="n">
        <v>125.1</v>
      </c>
      <c r="I68" s="1" t="n">
        <v>23</v>
      </c>
      <c r="J68" s="1" t="n">
        <v>1</v>
      </c>
      <c r="K68" s="1" t="n">
        <v>0.0250861</v>
      </c>
      <c r="L68" s="1" t="n">
        <v>0.01733</v>
      </c>
      <c r="M68" s="1" t="n">
        <v>69.08</v>
      </c>
      <c r="N68" s="1" t="n">
        <v>68.23</v>
      </c>
      <c r="O68" s="1" t="n">
        <v>10.84</v>
      </c>
      <c r="P68" s="1" t="n">
        <v>10.99</v>
      </c>
      <c r="Q68" s="1" t="n">
        <v>9.03</v>
      </c>
      <c r="R68" s="1" t="n">
        <v>-0.04422</v>
      </c>
      <c r="S68" s="1" t="n">
        <v>0.5</v>
      </c>
      <c r="T68" s="5" t="n">
        <v>2.903E-007</v>
      </c>
      <c r="U68" s="5" t="n">
        <v>8.362E-006</v>
      </c>
      <c r="V68" s="1" t="n">
        <v>0.3406</v>
      </c>
    </row>
    <row r="69" customFormat="false" ht="12.8" hidden="false" customHeight="false" outlineLevel="0" collapsed="false">
      <c r="A69" s="1" t="n">
        <v>6</v>
      </c>
      <c r="B69" s="4" t="str">
        <f aca="false">IF(LEFT(E69,2)="S1","01.11.2024",IF(LEFT(E69,2)="S2","24.07.2025",IF(LEFT(E69,2)="S3","14.04.2025",IF(LEFT(E69,2)="S4","04.12.2025","04.12.2025"))))</f>
        <v>04.12.2025</v>
      </c>
      <c r="C69" s="4" t="str">
        <f aca="false">IF(LEFT(E69,2)="S5","Spritz","Standard")</f>
        <v>Standard</v>
      </c>
      <c r="D69" s="4" t="n">
        <v>2</v>
      </c>
      <c r="E69" s="4" t="s">
        <v>25</v>
      </c>
      <c r="F69" s="1" t="s">
        <v>23</v>
      </c>
      <c r="G69" s="1" t="n">
        <v>163.6</v>
      </c>
      <c r="H69" s="1" t="n">
        <v>150.1</v>
      </c>
      <c r="I69" s="1" t="n">
        <v>23</v>
      </c>
      <c r="J69" s="1" t="n">
        <v>1</v>
      </c>
      <c r="K69" s="1" t="n">
        <v>0.032065</v>
      </c>
      <c r="L69" s="1" t="n">
        <v>0.02192</v>
      </c>
      <c r="M69" s="1" t="n">
        <v>68.37</v>
      </c>
      <c r="N69" s="1" t="n">
        <v>67.6</v>
      </c>
      <c r="O69" s="1" t="n">
        <v>10.21</v>
      </c>
      <c r="P69" s="1" t="n">
        <v>10.88</v>
      </c>
      <c r="Q69" s="1" t="n">
        <v>8.59</v>
      </c>
      <c r="R69" s="1" t="n">
        <v>-0.04465</v>
      </c>
      <c r="S69" s="1" t="n">
        <v>0.5</v>
      </c>
      <c r="T69" s="5" t="n">
        <v>3.673E-007</v>
      </c>
      <c r="U69" s="5" t="n">
        <v>1.069E-005</v>
      </c>
      <c r="V69" s="1" t="n">
        <v>0.3857</v>
      </c>
    </row>
    <row r="70" customFormat="false" ht="12.8" hidden="false" customHeight="false" outlineLevel="0" collapsed="false">
      <c r="A70" s="1" t="n">
        <v>7</v>
      </c>
      <c r="B70" s="4" t="str">
        <f aca="false">IF(LEFT(E70,2)="S1","01.11.2024",IF(LEFT(E70,2)="S2","24.07.2025",IF(LEFT(E70,2)="S3","14.04.2025",IF(LEFT(E70,2)="S4","04.12.2025","04.12.2025"))))</f>
        <v>04.12.2025</v>
      </c>
      <c r="C70" s="4" t="str">
        <f aca="false">IF(LEFT(E70,2)="S5","Spritz","Standard")</f>
        <v>Standard</v>
      </c>
      <c r="D70" s="4" t="n">
        <v>2</v>
      </c>
      <c r="E70" s="4" t="s">
        <v>25</v>
      </c>
      <c r="F70" s="1" t="s">
        <v>23</v>
      </c>
      <c r="G70" s="1" t="n">
        <v>188.6</v>
      </c>
      <c r="H70" s="1" t="n">
        <v>175.1</v>
      </c>
      <c r="I70" s="1" t="n">
        <v>23</v>
      </c>
      <c r="J70" s="1" t="n">
        <v>1</v>
      </c>
      <c r="K70" s="1" t="n">
        <v>0.0388992</v>
      </c>
      <c r="L70" s="1" t="n">
        <v>0.02637</v>
      </c>
      <c r="M70" s="1" t="n">
        <v>67.78</v>
      </c>
      <c r="N70" s="1" t="n">
        <v>67.03</v>
      </c>
      <c r="O70" s="1" t="n">
        <v>10.07</v>
      </c>
      <c r="P70" s="1" t="n">
        <v>10.79</v>
      </c>
      <c r="Q70" s="1" t="n">
        <v>8.55</v>
      </c>
      <c r="R70" s="1" t="n">
        <v>-0.04512</v>
      </c>
      <c r="S70" s="1" t="n">
        <v>0.5</v>
      </c>
      <c r="T70" s="5" t="n">
        <v>4.417E-007</v>
      </c>
      <c r="U70" s="5" t="n">
        <v>1.297E-005</v>
      </c>
      <c r="V70" s="1" t="n">
        <v>0.6458</v>
      </c>
    </row>
    <row r="71" customFormat="false" ht="12.8" hidden="false" customHeight="false" outlineLevel="0" collapsed="false">
      <c r="A71" s="1" t="n">
        <v>8</v>
      </c>
      <c r="B71" s="4" t="str">
        <f aca="false">IF(LEFT(E71,2)="S1","01.11.2024",IF(LEFT(E71,2)="S2","24.07.2025",IF(LEFT(E71,2)="S3","14.04.2025",IF(LEFT(E71,2)="S4","04.12.2025","04.12.2025"))))</f>
        <v>04.12.2025</v>
      </c>
      <c r="C71" s="4" t="str">
        <f aca="false">IF(LEFT(E71,2)="S5","Spritz","Standard")</f>
        <v>Standard</v>
      </c>
      <c r="D71" s="4" t="n">
        <v>2</v>
      </c>
      <c r="E71" s="4" t="s">
        <v>25</v>
      </c>
      <c r="F71" s="1" t="s">
        <v>23</v>
      </c>
      <c r="G71" s="1" t="n">
        <v>213.6</v>
      </c>
      <c r="H71" s="1" t="n">
        <v>200.1</v>
      </c>
      <c r="I71" s="1" t="n">
        <v>23</v>
      </c>
      <c r="J71" s="1" t="n">
        <v>1</v>
      </c>
      <c r="K71" s="1" t="n">
        <v>0.0512336</v>
      </c>
      <c r="L71" s="1" t="n">
        <v>0.0344</v>
      </c>
      <c r="M71" s="1" t="n">
        <v>67.15</v>
      </c>
      <c r="N71" s="1" t="n">
        <v>66.28</v>
      </c>
      <c r="O71" s="1" t="n">
        <v>10.77</v>
      </c>
      <c r="P71" s="1" t="n">
        <v>10.69</v>
      </c>
      <c r="Q71" s="1" t="n">
        <v>9.23</v>
      </c>
      <c r="R71" s="1" t="n">
        <v>-0.04625</v>
      </c>
      <c r="S71" s="1" t="n">
        <v>0.5</v>
      </c>
      <c r="T71" s="5" t="n">
        <v>5.763E-007</v>
      </c>
      <c r="U71" s="5" t="n">
        <v>1.708E-005</v>
      </c>
      <c r="V71" s="1" t="n">
        <v>0.2516</v>
      </c>
    </row>
    <row r="72" customFormat="false" ht="12.8" hidden="false" customHeight="false" outlineLevel="0" collapsed="false">
      <c r="A72" s="1" t="n">
        <v>9</v>
      </c>
      <c r="B72" s="4" t="str">
        <f aca="false">IF(LEFT(E72,2)="S1","01.11.2024",IF(LEFT(E72,2)="S2","24.07.2025",IF(LEFT(E72,2)="S3","14.04.2025",IF(LEFT(E72,2)="S4","04.12.2025","04.12.2025"))))</f>
        <v>04.12.2025</v>
      </c>
      <c r="C72" s="4" t="str">
        <f aca="false">IF(LEFT(E72,2)="S5","Spritz","Standard")</f>
        <v>Standard</v>
      </c>
      <c r="D72" s="4" t="n">
        <v>2</v>
      </c>
      <c r="E72" s="4" t="s">
        <v>25</v>
      </c>
      <c r="F72" s="1" t="s">
        <v>23</v>
      </c>
      <c r="G72" s="1" t="n">
        <v>238.6</v>
      </c>
      <c r="H72" s="1" t="n">
        <v>225.1</v>
      </c>
      <c r="I72" s="1" t="n">
        <v>23</v>
      </c>
      <c r="J72" s="1" t="n">
        <v>1</v>
      </c>
      <c r="K72" s="1" t="n">
        <v>0.0631175</v>
      </c>
      <c r="L72" s="1" t="n">
        <v>0.04166</v>
      </c>
      <c r="M72" s="1" t="n">
        <v>66.01</v>
      </c>
      <c r="N72" s="1" t="n">
        <v>65.16</v>
      </c>
      <c r="O72" s="1" t="n">
        <v>10.54</v>
      </c>
      <c r="P72" s="1" t="n">
        <v>10.51</v>
      </c>
      <c r="Q72" s="1" t="n">
        <v>9.19</v>
      </c>
      <c r="R72" s="1" t="n">
        <v>-0.04526</v>
      </c>
      <c r="S72" s="1" t="n">
        <v>0.5</v>
      </c>
      <c r="T72" s="5" t="n">
        <v>6.98E-007</v>
      </c>
      <c r="U72" s="5" t="n">
        <v>2.104E-005</v>
      </c>
      <c r="V72" s="1" t="n">
        <v>0.2473</v>
      </c>
    </row>
    <row r="73" customFormat="false" ht="12.8" hidden="false" customHeight="false" outlineLevel="0" collapsed="false">
      <c r="A73" s="1" t="n">
        <v>10</v>
      </c>
      <c r="B73" s="4" t="str">
        <f aca="false">IF(LEFT(E73,2)="S1","01.11.2024",IF(LEFT(E73,2)="S2","24.07.2025",IF(LEFT(E73,2)="S3","14.04.2025",IF(LEFT(E73,2)="S4","04.12.2025","04.12.2025"))))</f>
        <v>04.12.2025</v>
      </c>
      <c r="C73" s="4" t="str">
        <f aca="false">IF(LEFT(E73,2)="S5","Spritz","Standard")</f>
        <v>Standard</v>
      </c>
      <c r="D73" s="4" t="n">
        <v>2</v>
      </c>
      <c r="E73" s="4" t="s">
        <v>25</v>
      </c>
      <c r="F73" s="1" t="s">
        <v>23</v>
      </c>
      <c r="G73" s="1" t="n">
        <v>263.7</v>
      </c>
      <c r="H73" s="1" t="n">
        <v>250.1</v>
      </c>
      <c r="I73" s="1" t="n">
        <v>23</v>
      </c>
      <c r="J73" s="1" t="n">
        <v>1</v>
      </c>
      <c r="K73" s="1" t="n">
        <v>0.0790375</v>
      </c>
      <c r="L73" s="1" t="n">
        <v>0.05131</v>
      </c>
      <c r="M73" s="1" t="n">
        <v>64.91</v>
      </c>
      <c r="N73" s="1" t="n">
        <v>64.03</v>
      </c>
      <c r="O73" s="1" t="n">
        <v>10.68</v>
      </c>
      <c r="P73" s="1" t="n">
        <v>10.33</v>
      </c>
      <c r="Q73" s="1" t="n">
        <v>9.47</v>
      </c>
      <c r="R73" s="1" t="n">
        <v>-0.04664</v>
      </c>
      <c r="S73" s="1" t="n">
        <v>0.5</v>
      </c>
      <c r="T73" s="5" t="n">
        <v>8.595E-007</v>
      </c>
      <c r="U73" s="5" t="n">
        <v>2.635E-005</v>
      </c>
      <c r="V73" s="1" t="n">
        <v>0.2365</v>
      </c>
    </row>
    <row r="74" customFormat="false" ht="12.8" hidden="false" customHeight="false" outlineLevel="0" collapsed="false">
      <c r="A74" s="1" t="n">
        <v>11</v>
      </c>
      <c r="B74" s="4" t="str">
        <f aca="false">IF(LEFT(E74,2)="S1","01.11.2024",IF(LEFT(E74,2)="S2","24.07.2025",IF(LEFT(E74,2)="S3","14.04.2025",IF(LEFT(E74,2)="S4","04.12.2025","04.12.2025"))))</f>
        <v>04.12.2025</v>
      </c>
      <c r="C74" s="4" t="str">
        <f aca="false">IF(LEFT(E74,2)="S5","Spritz","Standard")</f>
        <v>Standard</v>
      </c>
      <c r="D74" s="4" t="n">
        <v>2</v>
      </c>
      <c r="E74" s="4" t="s">
        <v>25</v>
      </c>
      <c r="F74" s="1" t="s">
        <v>23</v>
      </c>
      <c r="G74" s="1" t="n">
        <v>288.7</v>
      </c>
      <c r="H74" s="1" t="n">
        <v>275.1</v>
      </c>
      <c r="I74" s="1" t="n">
        <v>23</v>
      </c>
      <c r="J74" s="1" t="n">
        <v>1</v>
      </c>
      <c r="K74" s="1" t="n">
        <v>0.101115</v>
      </c>
      <c r="L74" s="1" t="n">
        <v>0.06401</v>
      </c>
      <c r="M74" s="1" t="n">
        <v>63.3</v>
      </c>
      <c r="N74" s="1" t="n">
        <v>62.39</v>
      </c>
      <c r="O74" s="1" t="n">
        <v>10.7</v>
      </c>
      <c r="P74" s="1" t="n">
        <v>10.07</v>
      </c>
      <c r="Q74" s="1" t="n">
        <v>9.73</v>
      </c>
      <c r="R74" s="1" t="n">
        <v>-0.0465</v>
      </c>
      <c r="S74" s="1" t="n">
        <v>0.5</v>
      </c>
      <c r="T74" s="5" t="n">
        <v>1.072E-006</v>
      </c>
      <c r="U74" s="5" t="n">
        <v>3.371E-005</v>
      </c>
      <c r="V74" s="1" t="n">
        <v>0.2518</v>
      </c>
    </row>
    <row r="75" customFormat="false" ht="12.8" hidden="false" customHeight="false" outlineLevel="0" collapsed="false">
      <c r="A75" s="1" t="n">
        <v>12</v>
      </c>
      <c r="B75" s="4" t="str">
        <f aca="false">IF(LEFT(E75,2)="S1","01.11.2024",IF(LEFT(E75,2)="S2","24.07.2025",IF(LEFT(E75,2)="S3","14.04.2025",IF(LEFT(E75,2)="S4","04.12.2025","04.12.2025"))))</f>
        <v>04.12.2025</v>
      </c>
      <c r="C75" s="4" t="str">
        <f aca="false">IF(LEFT(E75,2)="S5","Spritz","Standard")</f>
        <v>Standard</v>
      </c>
      <c r="D75" s="4" t="n">
        <v>2</v>
      </c>
      <c r="E75" s="4" t="s">
        <v>25</v>
      </c>
      <c r="F75" s="1" t="s">
        <v>23</v>
      </c>
      <c r="G75" s="1" t="n">
        <v>313.7</v>
      </c>
      <c r="H75" s="1" t="n">
        <v>300.1</v>
      </c>
      <c r="I75" s="1" t="n">
        <v>23</v>
      </c>
      <c r="J75" s="1" t="n">
        <v>1</v>
      </c>
      <c r="K75" s="1" t="n">
        <v>0.124974</v>
      </c>
      <c r="L75" s="1" t="n">
        <v>0.07732</v>
      </c>
      <c r="M75" s="1" t="n">
        <v>61.87</v>
      </c>
      <c r="N75" s="1" t="n">
        <v>60.86</v>
      </c>
      <c r="O75" s="1" t="n">
        <v>11.09</v>
      </c>
      <c r="P75" s="1" t="n">
        <v>9.846</v>
      </c>
      <c r="Q75" s="1" t="n">
        <v>10.33</v>
      </c>
      <c r="R75" s="1" t="n">
        <v>-0.04729</v>
      </c>
      <c r="S75" s="1" t="n">
        <v>0.5</v>
      </c>
      <c r="T75" s="5" t="n">
        <v>1.295E-006</v>
      </c>
      <c r="U75" s="5" t="n">
        <v>4.166E-005</v>
      </c>
      <c r="V75" s="1" t="n">
        <v>0.3233</v>
      </c>
    </row>
    <row r="76" customFormat="false" ht="12.8" hidden="false" customHeight="false" outlineLevel="0" collapsed="false">
      <c r="A76" s="1" t="n">
        <v>13</v>
      </c>
      <c r="B76" s="4" t="str">
        <f aca="false">IF(LEFT(E76,2)="S1","01.11.2024",IF(LEFT(E76,2)="S2","24.07.2025",IF(LEFT(E76,2)="S3","14.04.2025",IF(LEFT(E76,2)="S4","04.12.2025","04.12.2025"))))</f>
        <v>04.12.2025</v>
      </c>
      <c r="C76" s="4" t="str">
        <f aca="false">IF(LEFT(E76,2)="S5","Spritz","Standard")</f>
        <v>Standard</v>
      </c>
      <c r="D76" s="4" t="n">
        <v>2</v>
      </c>
      <c r="E76" s="4" t="s">
        <v>25</v>
      </c>
      <c r="F76" s="1" t="s">
        <v>23</v>
      </c>
      <c r="G76" s="1" t="n">
        <v>338.7</v>
      </c>
      <c r="H76" s="1" t="n">
        <v>325.2</v>
      </c>
      <c r="I76" s="1" t="n">
        <v>23</v>
      </c>
      <c r="J76" s="1" t="n">
        <v>1</v>
      </c>
      <c r="K76" s="1" t="n">
        <v>0.158968</v>
      </c>
      <c r="L76" s="1" t="n">
        <v>0.09514</v>
      </c>
      <c r="M76" s="1" t="n">
        <v>59.85</v>
      </c>
      <c r="N76" s="1" t="n">
        <v>58.77</v>
      </c>
      <c r="O76" s="1" t="n">
        <v>11.32</v>
      </c>
      <c r="P76" s="1" t="n">
        <v>9.525</v>
      </c>
      <c r="Q76" s="1" t="n">
        <v>10.9</v>
      </c>
      <c r="R76" s="1" t="n">
        <v>-0.04751</v>
      </c>
      <c r="S76" s="1" t="n">
        <v>0.5</v>
      </c>
      <c r="T76" s="5" t="n">
        <v>1.594E-006</v>
      </c>
      <c r="U76" s="5" t="n">
        <v>5.299E-005</v>
      </c>
      <c r="V76" s="1" t="n">
        <v>0.3007</v>
      </c>
    </row>
    <row r="77" customFormat="false" ht="12.8" hidden="false" customHeight="false" outlineLevel="0" collapsed="false">
      <c r="A77" s="1" t="n">
        <v>14</v>
      </c>
      <c r="B77" s="4" t="str">
        <f aca="false">IF(LEFT(E77,2)="S1","01.11.2024",IF(LEFT(E77,2)="S2","24.07.2025",IF(LEFT(E77,2)="S3","14.04.2025",IF(LEFT(E77,2)="S4","04.12.2025","04.12.2025"))))</f>
        <v>04.12.2025</v>
      </c>
      <c r="C77" s="4" t="str">
        <f aca="false">IF(LEFT(E77,2)="S5","Spritz","Standard")</f>
        <v>Standard</v>
      </c>
      <c r="D77" s="4" t="n">
        <v>2</v>
      </c>
      <c r="E77" s="4" t="s">
        <v>25</v>
      </c>
      <c r="F77" s="1" t="s">
        <v>23</v>
      </c>
      <c r="G77" s="1" t="n">
        <v>363.7</v>
      </c>
      <c r="H77" s="1" t="n">
        <v>350.2</v>
      </c>
      <c r="I77" s="1" t="n">
        <v>23</v>
      </c>
      <c r="J77" s="1" t="n">
        <v>1</v>
      </c>
      <c r="K77" s="1" t="n">
        <v>0.199722</v>
      </c>
      <c r="L77" s="1" t="n">
        <v>0.1146</v>
      </c>
      <c r="M77" s="1" t="n">
        <v>57.36</v>
      </c>
      <c r="N77" s="1" t="n">
        <v>56.16</v>
      </c>
      <c r="O77" s="1" t="n">
        <v>11.66</v>
      </c>
      <c r="P77" s="1" t="n">
        <v>9.129</v>
      </c>
      <c r="Q77" s="1" t="n">
        <v>11.73</v>
      </c>
      <c r="R77" s="1" t="n">
        <v>-0.0482</v>
      </c>
      <c r="S77" s="1" t="n">
        <v>0.5</v>
      </c>
      <c r="T77" s="5" t="n">
        <v>1.919E-006</v>
      </c>
      <c r="U77" s="5" t="n">
        <v>6.658E-005</v>
      </c>
      <c r="V77" s="1" t="n">
        <v>0.368</v>
      </c>
    </row>
    <row r="78" customFormat="false" ht="12.8" hidden="false" customHeight="false" outlineLevel="0" collapsed="false">
      <c r="A78" s="1" t="n">
        <v>15</v>
      </c>
      <c r="B78" s="4" t="str">
        <f aca="false">IF(LEFT(E78,2)="S1","01.11.2024",IF(LEFT(E78,2)="S2","24.07.2025",IF(LEFT(E78,2)="S3","14.04.2025",IF(LEFT(E78,2)="S4","04.12.2025","04.12.2025"))))</f>
        <v>04.12.2025</v>
      </c>
      <c r="C78" s="4" t="str">
        <f aca="false">IF(LEFT(E78,2)="S5","Spritz","Standard")</f>
        <v>Standard</v>
      </c>
      <c r="D78" s="4" t="n">
        <v>2</v>
      </c>
      <c r="E78" s="4" t="s">
        <v>25</v>
      </c>
      <c r="F78" s="1" t="s">
        <v>23</v>
      </c>
      <c r="G78" s="1" t="n">
        <v>388.7</v>
      </c>
      <c r="H78" s="1" t="n">
        <v>375.2</v>
      </c>
      <c r="I78" s="1" t="n">
        <v>23</v>
      </c>
      <c r="J78" s="1" t="n">
        <v>1</v>
      </c>
      <c r="K78" s="1" t="n">
        <v>0.250083</v>
      </c>
      <c r="L78" s="1" t="n">
        <v>0.1368</v>
      </c>
      <c r="M78" s="1" t="n">
        <v>54.7</v>
      </c>
      <c r="N78" s="1" t="n">
        <v>53.36</v>
      </c>
      <c r="O78" s="1" t="n">
        <v>12.06</v>
      </c>
      <c r="P78" s="1" t="n">
        <v>8.706</v>
      </c>
      <c r="Q78" s="1" t="n">
        <v>12.73</v>
      </c>
      <c r="R78" s="1" t="n">
        <v>-0.04708</v>
      </c>
      <c r="S78" s="1" t="n">
        <v>0.5</v>
      </c>
      <c r="T78" s="5" t="n">
        <v>2.292E-006</v>
      </c>
      <c r="U78" s="5" t="n">
        <v>8.337E-005</v>
      </c>
      <c r="V78" s="1" t="n">
        <v>0.4466</v>
      </c>
    </row>
    <row r="79" customFormat="false" ht="12.8" hidden="false" customHeight="false" outlineLevel="0" collapsed="false">
      <c r="A79" s="1" t="n">
        <v>16</v>
      </c>
      <c r="B79" s="4" t="str">
        <f aca="false">IF(LEFT(E79,2)="S1","01.11.2024",IF(LEFT(E79,2)="S2","24.07.2025",IF(LEFT(E79,2)="S3","14.04.2025",IF(LEFT(E79,2)="S4","04.12.2025","04.12.2025"))))</f>
        <v>04.12.2025</v>
      </c>
      <c r="C79" s="4" t="str">
        <f aca="false">IF(LEFT(E79,2)="S5","Spritz","Standard")</f>
        <v>Standard</v>
      </c>
      <c r="D79" s="4" t="n">
        <v>2</v>
      </c>
      <c r="E79" s="4" t="s">
        <v>25</v>
      </c>
      <c r="F79" s="1" t="s">
        <v>23</v>
      </c>
      <c r="G79" s="1" t="n">
        <v>413.7</v>
      </c>
      <c r="H79" s="1" t="n">
        <v>400.2</v>
      </c>
      <c r="I79" s="1" t="n">
        <v>23</v>
      </c>
      <c r="J79" s="1" t="n">
        <v>1</v>
      </c>
      <c r="K79" s="1" t="n">
        <v>0.316985</v>
      </c>
      <c r="L79" s="1" t="n">
        <v>0.1635</v>
      </c>
      <c r="M79" s="1" t="n">
        <v>51.59</v>
      </c>
      <c r="N79" s="1" t="n">
        <v>50.03</v>
      </c>
      <c r="O79" s="1" t="n">
        <v>12.58</v>
      </c>
      <c r="P79" s="1" t="n">
        <v>8.21</v>
      </c>
      <c r="Q79" s="1" t="n">
        <v>14.11</v>
      </c>
      <c r="R79" s="1" t="n">
        <v>-0.04798</v>
      </c>
      <c r="S79" s="1" t="n">
        <v>0.5</v>
      </c>
      <c r="T79" s="5" t="n">
        <v>2.739E-006</v>
      </c>
      <c r="U79" s="5" t="n">
        <v>0.0001057</v>
      </c>
      <c r="V79" s="1" t="n">
        <v>0.4965</v>
      </c>
    </row>
    <row r="80" customFormat="false" ht="12.8" hidden="false" customHeight="false" outlineLevel="0" collapsed="false">
      <c r="A80" s="1" t="n">
        <v>17</v>
      </c>
      <c r="B80" s="4" t="str">
        <f aca="false">IF(LEFT(E80,2)="S1","01.11.2024",IF(LEFT(E80,2)="S2","24.07.2025",IF(LEFT(E80,2)="S3","14.04.2025",IF(LEFT(E80,2)="S4","04.12.2025","04.12.2025"))))</f>
        <v>04.12.2025</v>
      </c>
      <c r="C80" s="4" t="str">
        <f aca="false">IF(LEFT(E80,2)="S5","Spritz","Standard")</f>
        <v>Standard</v>
      </c>
      <c r="D80" s="4" t="n">
        <v>2</v>
      </c>
      <c r="E80" s="4" t="s">
        <v>25</v>
      </c>
      <c r="F80" s="1" t="s">
        <v>23</v>
      </c>
      <c r="G80" s="1" t="n">
        <v>438.7</v>
      </c>
      <c r="H80" s="1" t="n">
        <v>425.2</v>
      </c>
      <c r="I80" s="1" t="n">
        <v>23</v>
      </c>
      <c r="J80" s="1" t="n">
        <v>1</v>
      </c>
      <c r="K80" s="1" t="n">
        <v>0.398647</v>
      </c>
      <c r="L80" s="1" t="n">
        <v>0.1925</v>
      </c>
      <c r="M80" s="1" t="n">
        <v>48.28</v>
      </c>
      <c r="N80" s="1" t="n">
        <v>46.46</v>
      </c>
      <c r="O80" s="1" t="n">
        <v>13.12</v>
      </c>
      <c r="P80" s="1" t="n">
        <v>7.684</v>
      </c>
      <c r="Q80" s="1" t="n">
        <v>15.77</v>
      </c>
      <c r="R80" s="1" t="n">
        <v>-0.04845</v>
      </c>
      <c r="S80" s="1" t="n">
        <v>0.5</v>
      </c>
      <c r="T80" s="5" t="n">
        <v>3.224E-006</v>
      </c>
      <c r="U80" s="5" t="n">
        <v>0.0001329</v>
      </c>
      <c r="V80" s="1" t="n">
        <v>0.631</v>
      </c>
    </row>
    <row r="81" customFormat="false" ht="12.8" hidden="false" customHeight="false" outlineLevel="0" collapsed="false">
      <c r="A81" s="1" t="n">
        <v>18</v>
      </c>
      <c r="B81" s="4" t="str">
        <f aca="false">IF(LEFT(E81,2)="S1","01.11.2024",IF(LEFT(E81,2)="S2","24.07.2025",IF(LEFT(E81,2)="S3","14.04.2025",IF(LEFT(E81,2)="S4","04.12.2025","04.12.2025"))))</f>
        <v>04.12.2025</v>
      </c>
      <c r="C81" s="4" t="str">
        <f aca="false">IF(LEFT(E81,2)="S5","Spritz","Standard")</f>
        <v>Standard</v>
      </c>
      <c r="D81" s="4" t="n">
        <v>2</v>
      </c>
      <c r="E81" s="4" t="s">
        <v>25</v>
      </c>
      <c r="F81" s="1" t="s">
        <v>23</v>
      </c>
      <c r="G81" s="1" t="n">
        <v>463.7</v>
      </c>
      <c r="H81" s="1" t="n">
        <v>450.2</v>
      </c>
      <c r="I81" s="1" t="n">
        <v>23</v>
      </c>
      <c r="J81" s="1" t="n">
        <v>1</v>
      </c>
      <c r="K81" s="1" t="n">
        <v>0.4999</v>
      </c>
      <c r="L81" s="1" t="n">
        <v>0.2234</v>
      </c>
      <c r="M81" s="1" t="n">
        <v>44.7</v>
      </c>
      <c r="N81" s="1" t="n">
        <v>42.55</v>
      </c>
      <c r="O81" s="1" t="n">
        <v>13.69</v>
      </c>
      <c r="P81" s="1" t="n">
        <v>7.114</v>
      </c>
      <c r="Q81" s="1" t="n">
        <v>17.83</v>
      </c>
      <c r="R81" s="1" t="n">
        <v>-0.04911</v>
      </c>
      <c r="S81" s="1" t="n">
        <v>0.5</v>
      </c>
      <c r="T81" s="5" t="n">
        <v>3.743E-006</v>
      </c>
      <c r="U81" s="5" t="n">
        <v>0.0001666</v>
      </c>
      <c r="V81" s="1" t="n">
        <v>0.8258</v>
      </c>
    </row>
    <row r="82" customFormat="false" ht="12.8" hidden="false" customHeight="false" outlineLevel="0" collapsed="false">
      <c r="A82" s="1" t="n">
        <v>19</v>
      </c>
      <c r="B82" s="4" t="str">
        <f aca="false">IF(LEFT(E82,2)="S1","01.11.2024",IF(LEFT(E82,2)="S2","24.07.2025",IF(LEFT(E82,2)="S3","14.04.2025",IF(LEFT(E82,2)="S4","04.12.2025","04.12.2025"))))</f>
        <v>04.12.2025</v>
      </c>
      <c r="C82" s="4" t="str">
        <f aca="false">IF(LEFT(E82,2)="S5","Spritz","Standard")</f>
        <v>Standard</v>
      </c>
      <c r="D82" s="4" t="n">
        <v>2</v>
      </c>
      <c r="E82" s="4" t="s">
        <v>25</v>
      </c>
      <c r="F82" s="1" t="s">
        <v>23</v>
      </c>
      <c r="G82" s="1" t="n">
        <v>488.8</v>
      </c>
      <c r="H82" s="1" t="n">
        <v>475.2</v>
      </c>
      <c r="I82" s="1" t="n">
        <v>23</v>
      </c>
      <c r="J82" s="1" t="n">
        <v>1</v>
      </c>
      <c r="K82" s="1" t="n">
        <v>0.631707</v>
      </c>
      <c r="L82" s="1" t="n">
        <v>0.2583</v>
      </c>
      <c r="M82" s="1" t="n">
        <v>40.89</v>
      </c>
      <c r="N82" s="1" t="n">
        <v>38.32</v>
      </c>
      <c r="O82" s="1" t="n">
        <v>14.28</v>
      </c>
      <c r="P82" s="1" t="n">
        <v>6.508</v>
      </c>
      <c r="Q82" s="1" t="n">
        <v>20.44</v>
      </c>
      <c r="R82" s="1" t="n">
        <v>-0.04932</v>
      </c>
      <c r="S82" s="1" t="n">
        <v>0.5</v>
      </c>
      <c r="T82" s="5" t="n">
        <v>4.327E-006</v>
      </c>
      <c r="U82" s="5" t="n">
        <v>0.0002106</v>
      </c>
      <c r="V82" s="1" t="n">
        <v>1.076</v>
      </c>
    </row>
    <row r="83" customFormat="false" ht="12.8" hidden="false" customHeight="false" outlineLevel="0" collapsed="false">
      <c r="A83" s="1" t="n">
        <v>20</v>
      </c>
      <c r="B83" s="4" t="str">
        <f aca="false">IF(LEFT(E83,2)="S1","01.11.2024",IF(LEFT(E83,2)="S2","24.07.2025",IF(LEFT(E83,2)="S3","14.04.2025",IF(LEFT(E83,2)="S4","04.12.2025","04.12.2025"))))</f>
        <v>04.12.2025</v>
      </c>
      <c r="C83" s="4" t="str">
        <f aca="false">IF(LEFT(E83,2)="S5","Spritz","Standard")</f>
        <v>Standard</v>
      </c>
      <c r="D83" s="4" t="n">
        <v>2</v>
      </c>
      <c r="E83" s="4" t="s">
        <v>25</v>
      </c>
      <c r="F83" s="1" t="s">
        <v>23</v>
      </c>
      <c r="G83" s="1" t="n">
        <v>513.8</v>
      </c>
      <c r="H83" s="1" t="n">
        <v>500.2</v>
      </c>
      <c r="I83" s="1" t="n">
        <v>23</v>
      </c>
      <c r="J83" s="1" t="n">
        <v>1</v>
      </c>
      <c r="K83" s="1" t="n">
        <v>0.795027</v>
      </c>
      <c r="L83" s="1" t="n">
        <v>0.2934</v>
      </c>
      <c r="M83" s="1" t="n">
        <v>36.9</v>
      </c>
      <c r="N83" s="1" t="n">
        <v>33.74</v>
      </c>
      <c r="O83" s="1" t="n">
        <v>14.93</v>
      </c>
      <c r="P83" s="1" t="n">
        <v>5.873</v>
      </c>
      <c r="Q83" s="1" t="n">
        <v>23.87</v>
      </c>
      <c r="R83" s="1" t="n">
        <v>-0.04941</v>
      </c>
      <c r="S83" s="1" t="n">
        <v>0.5</v>
      </c>
      <c r="T83" s="5" t="n">
        <v>4.914E-006</v>
      </c>
      <c r="U83" s="5" t="n">
        <v>0.000265</v>
      </c>
      <c r="V83" s="1" t="n">
        <v>1.551</v>
      </c>
    </row>
    <row r="84" customFormat="false" ht="12.8" hidden="false" customHeight="false" outlineLevel="0" collapsed="false">
      <c r="A84" s="1" t="n">
        <v>21</v>
      </c>
      <c r="B84" s="4" t="str">
        <f aca="false">IF(LEFT(E84,2)="S1","01.11.2024",IF(LEFT(E84,2)="S2","24.07.2025",IF(LEFT(E84,2)="S3","14.04.2025",IF(LEFT(E84,2)="S4","04.12.2025","04.12.2025"))))</f>
        <v>04.12.2025</v>
      </c>
      <c r="C84" s="4" t="str">
        <f aca="false">IF(LEFT(E84,2)="S5","Spritz","Standard")</f>
        <v>Standard</v>
      </c>
      <c r="D84" s="4" t="n">
        <v>2</v>
      </c>
      <c r="E84" s="4" t="s">
        <v>25</v>
      </c>
      <c r="F84" s="1" t="s">
        <v>23</v>
      </c>
      <c r="G84" s="1" t="n">
        <v>538.8</v>
      </c>
      <c r="H84" s="1" t="n">
        <v>525.3</v>
      </c>
      <c r="I84" s="1" t="n">
        <v>23</v>
      </c>
      <c r="J84" s="1" t="n">
        <v>1</v>
      </c>
      <c r="K84" s="1" t="n">
        <v>1.00029</v>
      </c>
      <c r="L84" s="1" t="n">
        <v>0.3277</v>
      </c>
      <c r="M84" s="1" t="n">
        <v>32.76</v>
      </c>
      <c r="N84" s="1" t="n">
        <v>28.89</v>
      </c>
      <c r="O84" s="1" t="n">
        <v>15.44</v>
      </c>
      <c r="P84" s="1" t="n">
        <v>5.214</v>
      </c>
      <c r="Q84" s="1" t="n">
        <v>28.12</v>
      </c>
      <c r="R84" s="1" t="n">
        <v>-0.04982</v>
      </c>
      <c r="S84" s="1" t="n">
        <v>0.5</v>
      </c>
      <c r="T84" s="5" t="n">
        <v>5.49E-006</v>
      </c>
      <c r="U84" s="5" t="n">
        <v>0.0003334</v>
      </c>
      <c r="V84" s="1" t="n">
        <v>2.267</v>
      </c>
    </row>
    <row r="85" customFormat="false" ht="12.8" hidden="false" customHeight="false" outlineLevel="0" collapsed="false">
      <c r="A85" s="1" t="n">
        <v>22</v>
      </c>
      <c r="B85" s="4" t="str">
        <f aca="false">IF(LEFT(E85,2)="S1","01.11.2024",IF(LEFT(E85,2)="S2","24.07.2025",IF(LEFT(E85,2)="S3","14.04.2025",IF(LEFT(E85,2)="S4","04.12.2025","04.12.2025"))))</f>
        <v>04.12.2025</v>
      </c>
      <c r="C85" s="4" t="str">
        <f aca="false">IF(LEFT(E85,2)="S5","Spritz","Standard")</f>
        <v>Standard</v>
      </c>
      <c r="D85" s="4" t="n">
        <v>2</v>
      </c>
      <c r="E85" s="4" t="s">
        <v>25</v>
      </c>
      <c r="F85" s="1" t="s">
        <v>23</v>
      </c>
      <c r="G85" s="1" t="n">
        <v>563.8</v>
      </c>
      <c r="H85" s="1" t="n">
        <v>550.3</v>
      </c>
      <c r="I85" s="1" t="n">
        <v>23</v>
      </c>
      <c r="J85" s="1" t="n">
        <v>1</v>
      </c>
      <c r="K85" s="1" t="n">
        <v>1.25871</v>
      </c>
      <c r="L85" s="1" t="n">
        <v>0.3593</v>
      </c>
      <c r="M85" s="1" t="n">
        <v>28.54</v>
      </c>
      <c r="N85" s="1" t="n">
        <v>23.8</v>
      </c>
      <c r="O85" s="1" t="n">
        <v>15.75</v>
      </c>
      <c r="P85" s="1" t="n">
        <v>4.543</v>
      </c>
      <c r="Q85" s="1" t="n">
        <v>33.5</v>
      </c>
      <c r="R85" s="1" t="n">
        <v>-0.04996</v>
      </c>
      <c r="S85" s="1" t="n">
        <v>0.5</v>
      </c>
      <c r="T85" s="5" t="n">
        <v>6.019E-006</v>
      </c>
      <c r="U85" s="5" t="n">
        <v>0.0004196</v>
      </c>
      <c r="V85" s="1" t="n">
        <v>4.041</v>
      </c>
    </row>
    <row r="86" customFormat="false" ht="12.8" hidden="false" customHeight="false" outlineLevel="0" collapsed="false">
      <c r="A86" s="1" t="n">
        <v>23</v>
      </c>
      <c r="B86" s="4" t="str">
        <f aca="false">IF(LEFT(E86,2)="S1","01.11.2024",IF(LEFT(E86,2)="S2","24.07.2025",IF(LEFT(E86,2)="S3","14.04.2025",IF(LEFT(E86,2)="S4","04.12.2025","04.12.2025"))))</f>
        <v>04.12.2025</v>
      </c>
      <c r="C86" s="4" t="str">
        <f aca="false">IF(LEFT(E86,2)="S5","Spritz","Standard")</f>
        <v>Standard</v>
      </c>
      <c r="D86" s="4" t="n">
        <v>2</v>
      </c>
      <c r="E86" s="4" t="s">
        <v>25</v>
      </c>
      <c r="F86" s="1" t="s">
        <v>23</v>
      </c>
      <c r="G86" s="1" t="n">
        <v>588.8</v>
      </c>
      <c r="H86" s="1" t="n">
        <v>575.3</v>
      </c>
      <c r="I86" s="1" t="n">
        <v>23</v>
      </c>
      <c r="J86" s="1" t="n">
        <v>1</v>
      </c>
      <c r="K86" s="1" t="n">
        <v>1.645</v>
      </c>
      <c r="L86" s="1" t="n">
        <v>0.3688</v>
      </c>
      <c r="M86" s="1" t="n">
        <v>22.42</v>
      </c>
      <c r="N86" s="1" t="n">
        <v>16.03</v>
      </c>
      <c r="O86" s="1" t="n">
        <v>15.67</v>
      </c>
      <c r="P86" s="1" t="n">
        <v>3.568</v>
      </c>
      <c r="Q86" s="1" t="n">
        <v>44.36</v>
      </c>
      <c r="R86" s="1" t="n">
        <v>-0.05148</v>
      </c>
      <c r="S86" s="1" t="n">
        <v>0.5</v>
      </c>
      <c r="T86" s="5" t="n">
        <v>6.178E-006</v>
      </c>
      <c r="U86" s="5" t="n">
        <v>0.0005484</v>
      </c>
      <c r="V86" s="1" t="n">
        <v>7.845</v>
      </c>
    </row>
    <row r="87" customFormat="false" ht="12.8" hidden="false" customHeight="false" outlineLevel="0" collapsed="false">
      <c r="A87" s="1" t="n">
        <v>24</v>
      </c>
      <c r="B87" s="4" t="str">
        <f aca="false">IF(LEFT(E87,2)="S1","01.11.2024",IF(LEFT(E87,2)="S2","24.07.2025",IF(LEFT(E87,2)="S3","14.04.2025",IF(LEFT(E87,2)="S4","04.12.2025","04.12.2025"))))</f>
        <v>04.12.2025</v>
      </c>
      <c r="C87" s="4" t="str">
        <f aca="false">IF(LEFT(E87,2)="S5","Spritz","Standard")</f>
        <v>Standard</v>
      </c>
      <c r="D87" s="4" t="n">
        <v>2</v>
      </c>
      <c r="E87" s="4" t="s">
        <v>25</v>
      </c>
      <c r="F87" s="1" t="s">
        <v>23</v>
      </c>
      <c r="G87" s="1" t="n">
        <v>613.8</v>
      </c>
      <c r="H87" s="1" t="n">
        <v>600.3</v>
      </c>
      <c r="I87" s="1" t="n">
        <v>23</v>
      </c>
      <c r="J87" s="1" t="n">
        <v>1</v>
      </c>
      <c r="K87" s="1" t="n">
        <v>2.44739</v>
      </c>
      <c r="L87" s="1" t="n">
        <v>0.3707</v>
      </c>
      <c r="M87" s="1" t="n">
        <v>15.14</v>
      </c>
      <c r="N87" s="1" t="n">
        <v>8.325</v>
      </c>
      <c r="O87" s="1" t="n">
        <v>12.65</v>
      </c>
      <c r="P87" s="1" t="n">
        <v>2.41</v>
      </c>
      <c r="Q87" s="1" t="n">
        <v>56.65</v>
      </c>
      <c r="R87" s="1" t="n">
        <v>-0.05068</v>
      </c>
      <c r="S87" s="1" t="n">
        <v>0.5</v>
      </c>
      <c r="T87" s="5" t="n">
        <v>6.209E-006</v>
      </c>
      <c r="U87" s="5" t="n">
        <v>0.0008158</v>
      </c>
      <c r="V87" s="1" t="n">
        <v>7.635</v>
      </c>
    </row>
    <row r="88" customFormat="false" ht="12.8" hidden="false" customHeight="false" outlineLevel="0" collapsed="false">
      <c r="A88" s="1" t="n">
        <v>25</v>
      </c>
      <c r="B88" s="4" t="str">
        <f aca="false">IF(LEFT(E88,2)="S1","01.11.2024",IF(LEFT(E88,2)="S2","24.07.2025",IF(LEFT(E88,2)="S3","14.04.2025",IF(LEFT(E88,2)="S4","04.12.2025","04.12.2025"))))</f>
        <v>04.12.2025</v>
      </c>
      <c r="C88" s="4" t="str">
        <f aca="false">IF(LEFT(E88,2)="S5","Spritz","Standard")</f>
        <v>Standard</v>
      </c>
      <c r="D88" s="4" t="n">
        <v>2</v>
      </c>
      <c r="E88" s="4" t="s">
        <v>25</v>
      </c>
      <c r="F88" s="1" t="s">
        <v>23</v>
      </c>
      <c r="G88" s="1" t="n">
        <v>638.8</v>
      </c>
      <c r="H88" s="1" t="n">
        <v>625.3</v>
      </c>
      <c r="I88" s="1" t="n">
        <v>23</v>
      </c>
      <c r="J88" s="1" t="n">
        <v>1</v>
      </c>
      <c r="K88" s="1" t="n">
        <v>2.54763</v>
      </c>
      <c r="L88" s="1" t="n">
        <v>0.3994</v>
      </c>
      <c r="M88" s="1" t="n">
        <v>15.68</v>
      </c>
      <c r="N88" s="1" t="n">
        <v>8.913</v>
      </c>
      <c r="O88" s="1" t="n">
        <v>12.9</v>
      </c>
      <c r="P88" s="1" t="n">
        <v>2.495</v>
      </c>
      <c r="Q88" s="1" t="n">
        <v>55.35</v>
      </c>
      <c r="R88" s="1" t="n">
        <v>-0.05103</v>
      </c>
      <c r="S88" s="1" t="n">
        <v>0.5</v>
      </c>
      <c r="T88" s="5" t="n">
        <v>6.691E-006</v>
      </c>
      <c r="U88" s="5" t="n">
        <v>0.0008493</v>
      </c>
      <c r="V88" s="1" t="n">
        <v>10.09</v>
      </c>
    </row>
    <row r="89" customFormat="false" ht="12.8" hidden="false" customHeight="false" outlineLevel="0" collapsed="false">
      <c r="A89" s="1" t="n">
        <v>26</v>
      </c>
      <c r="B89" s="4" t="str">
        <f aca="false">IF(LEFT(E89,2)="S1","01.11.2024",IF(LEFT(E89,2)="S2","24.07.2025",IF(LEFT(E89,2)="S3","14.04.2025",IF(LEFT(E89,2)="S4","04.12.2025","04.12.2025"))))</f>
        <v>04.12.2025</v>
      </c>
      <c r="C89" s="4" t="str">
        <f aca="false">IF(LEFT(E89,2)="S5","Spritz","Standard")</f>
        <v>Standard</v>
      </c>
      <c r="D89" s="4" t="n">
        <v>2</v>
      </c>
      <c r="E89" s="4" t="s">
        <v>25</v>
      </c>
      <c r="F89" s="1" t="s">
        <v>23</v>
      </c>
      <c r="G89" s="1" t="n">
        <v>663.9</v>
      </c>
      <c r="H89" s="1" t="n">
        <v>650.3</v>
      </c>
      <c r="I89" s="1" t="n">
        <v>23</v>
      </c>
      <c r="J89" s="1" t="n">
        <v>1</v>
      </c>
      <c r="K89" s="1" t="n">
        <v>3.16175</v>
      </c>
      <c r="L89" s="1" t="n">
        <v>0.412</v>
      </c>
      <c r="M89" s="1" t="n">
        <v>13.03</v>
      </c>
      <c r="N89" s="1" t="n">
        <v>6.526</v>
      </c>
      <c r="O89" s="1" t="n">
        <v>11.28</v>
      </c>
      <c r="P89" s="1" t="n">
        <v>2.074</v>
      </c>
      <c r="Q89" s="1" t="n">
        <v>59.95</v>
      </c>
      <c r="R89" s="1" t="n">
        <v>-0.05177</v>
      </c>
      <c r="S89" s="1" t="n">
        <v>0.5</v>
      </c>
      <c r="T89" s="5" t="n">
        <v>6.903E-006</v>
      </c>
      <c r="U89" s="5" t="n">
        <v>0.001054</v>
      </c>
      <c r="V89" s="1" t="n">
        <v>12.42</v>
      </c>
    </row>
    <row r="90" customFormat="false" ht="12.8" hidden="false" customHeight="false" outlineLevel="0" collapsed="false">
      <c r="A90" s="1" t="n">
        <v>27</v>
      </c>
      <c r="B90" s="4" t="str">
        <f aca="false">IF(LEFT(E90,2)="S1","01.11.2024",IF(LEFT(E90,2)="S2","24.07.2025",IF(LEFT(E90,2)="S3","14.04.2025",IF(LEFT(E90,2)="S4","04.12.2025","04.12.2025"))))</f>
        <v>04.12.2025</v>
      </c>
      <c r="C90" s="4" t="str">
        <f aca="false">IF(LEFT(E90,2)="S5","Spritz","Standard")</f>
        <v>Standard</v>
      </c>
      <c r="D90" s="4" t="n">
        <v>2</v>
      </c>
      <c r="E90" s="4" t="s">
        <v>25</v>
      </c>
      <c r="F90" s="1" t="s">
        <v>23</v>
      </c>
      <c r="G90" s="1" t="n">
        <v>688.9</v>
      </c>
      <c r="H90" s="1" t="n">
        <v>675.3</v>
      </c>
      <c r="I90" s="1" t="n">
        <v>23</v>
      </c>
      <c r="J90" s="1" t="n">
        <v>1</v>
      </c>
      <c r="K90" s="1" t="n">
        <v>4.1263</v>
      </c>
      <c r="L90" s="1" t="n">
        <v>0.4351</v>
      </c>
      <c r="M90" s="1" t="n">
        <v>10.55</v>
      </c>
      <c r="N90" s="1" t="n">
        <v>4.36</v>
      </c>
      <c r="O90" s="1" t="n">
        <v>9.602</v>
      </c>
      <c r="P90" s="1" t="n">
        <v>1.678</v>
      </c>
      <c r="Q90" s="1" t="n">
        <v>65.58</v>
      </c>
      <c r="R90" s="1" t="n">
        <v>-0.05089</v>
      </c>
      <c r="S90" s="1" t="n">
        <v>0.5</v>
      </c>
      <c r="T90" s="5" t="n">
        <v>7.29E-006</v>
      </c>
      <c r="U90" s="5" t="n">
        <v>0.001375</v>
      </c>
      <c r="V90" s="1" t="n">
        <v>15.75</v>
      </c>
    </row>
    <row r="91" customFormat="false" ht="12.8" hidden="false" customHeight="false" outlineLevel="0" collapsed="false">
      <c r="A91" s="1" t="n">
        <v>28</v>
      </c>
      <c r="B91" s="4" t="str">
        <f aca="false">IF(LEFT(E91,2)="S1","01.11.2024",IF(LEFT(E91,2)="S2","24.07.2025",IF(LEFT(E91,2)="S3","14.04.2025",IF(LEFT(E91,2)="S4","04.12.2025","04.12.2025"))))</f>
        <v>04.12.2025</v>
      </c>
      <c r="C91" s="4" t="str">
        <f aca="false">IF(LEFT(E91,2)="S5","Spritz","Standard")</f>
        <v>Standard</v>
      </c>
      <c r="D91" s="4" t="n">
        <v>2</v>
      </c>
      <c r="E91" s="4" t="s">
        <v>25</v>
      </c>
      <c r="F91" s="1" t="s">
        <v>23</v>
      </c>
      <c r="G91" s="1" t="n">
        <v>713.9</v>
      </c>
      <c r="H91" s="1" t="n">
        <v>700.4</v>
      </c>
      <c r="I91" s="1" t="n">
        <v>23</v>
      </c>
      <c r="J91" s="1" t="n">
        <v>1</v>
      </c>
      <c r="K91" s="1" t="n">
        <v>5.59224</v>
      </c>
      <c r="L91" s="1" t="n">
        <v>0.4468</v>
      </c>
      <c r="M91" s="1" t="n">
        <v>7.989</v>
      </c>
      <c r="N91" s="1" t="n">
        <v>2.832</v>
      </c>
      <c r="O91" s="1" t="n">
        <v>7.47</v>
      </c>
      <c r="P91" s="1" t="n">
        <v>1.271</v>
      </c>
      <c r="Q91" s="1" t="n">
        <v>69.24</v>
      </c>
      <c r="R91" s="1" t="n">
        <v>-0.05203</v>
      </c>
      <c r="S91" s="1" t="n">
        <v>0.5</v>
      </c>
      <c r="T91" s="5" t="n">
        <v>7.484E-006</v>
      </c>
      <c r="U91" s="5" t="n">
        <v>0.001864</v>
      </c>
      <c r="V91" s="1" t="n">
        <v>17.44</v>
      </c>
    </row>
    <row r="92" customFormat="false" ht="12.8" hidden="false" customHeight="false" outlineLevel="0" collapsed="false">
      <c r="A92" s="1" t="n">
        <v>29</v>
      </c>
      <c r="B92" s="4" t="str">
        <f aca="false">IF(LEFT(E92,2)="S1","01.11.2024",IF(LEFT(E92,2)="S2","24.07.2025",IF(LEFT(E92,2)="S3","14.04.2025",IF(LEFT(E92,2)="S4","04.12.2025","04.12.2025"))))</f>
        <v>04.12.2025</v>
      </c>
      <c r="C92" s="4" t="str">
        <f aca="false">IF(LEFT(E92,2)="S5","Spritz","Standard")</f>
        <v>Standard</v>
      </c>
      <c r="D92" s="4" t="n">
        <v>2</v>
      </c>
      <c r="E92" s="4" t="s">
        <v>25</v>
      </c>
      <c r="F92" s="1" t="s">
        <v>23</v>
      </c>
      <c r="G92" s="1" t="n">
        <v>738.9</v>
      </c>
      <c r="H92" s="1" t="n">
        <v>725.4</v>
      </c>
      <c r="I92" s="1" t="n">
        <v>23</v>
      </c>
      <c r="J92" s="1" t="n">
        <v>1</v>
      </c>
      <c r="K92" s="1" t="n">
        <v>6.55668</v>
      </c>
      <c r="L92" s="1" t="n">
        <v>0.4627</v>
      </c>
      <c r="M92" s="1" t="n">
        <v>7.057</v>
      </c>
      <c r="N92" s="1" t="n">
        <v>2.183</v>
      </c>
      <c r="O92" s="1" t="n">
        <v>6.711</v>
      </c>
      <c r="P92" s="1" t="n">
        <v>1.123</v>
      </c>
      <c r="Q92" s="1" t="n">
        <v>71.98</v>
      </c>
      <c r="R92" s="1" t="n">
        <v>-0.05262</v>
      </c>
      <c r="S92" s="1" t="n">
        <v>0.5</v>
      </c>
      <c r="T92" s="5" t="n">
        <v>7.752E-006</v>
      </c>
      <c r="U92" s="5" t="n">
        <v>0.002186</v>
      </c>
      <c r="V92" s="1" t="n">
        <v>19.65</v>
      </c>
    </row>
    <row r="93" customFormat="false" ht="12.8" hidden="false" customHeight="false" outlineLevel="0" collapsed="false">
      <c r="A93" s="1" t="n">
        <v>30</v>
      </c>
      <c r="B93" s="4" t="str">
        <f aca="false">IF(LEFT(E93,2)="S1","01.11.2024",IF(LEFT(E93,2)="S2","24.07.2025",IF(LEFT(E93,2)="S3","14.04.2025",IF(LEFT(E93,2)="S4","04.12.2025","04.12.2025"))))</f>
        <v>04.12.2025</v>
      </c>
      <c r="C93" s="4" t="str">
        <f aca="false">IF(LEFT(E93,2)="S5","Spritz","Standard")</f>
        <v>Standard</v>
      </c>
      <c r="D93" s="4" t="n">
        <v>2</v>
      </c>
      <c r="E93" s="4" t="s">
        <v>25</v>
      </c>
      <c r="F93" s="1" t="s">
        <v>23</v>
      </c>
      <c r="G93" s="1" t="n">
        <v>763.9</v>
      </c>
      <c r="H93" s="1" t="n">
        <v>750.4</v>
      </c>
      <c r="I93" s="1" t="n">
        <v>23</v>
      </c>
      <c r="J93" s="1" t="n">
        <v>1</v>
      </c>
      <c r="K93" s="1" t="n">
        <v>8.02441</v>
      </c>
      <c r="L93" s="1" t="n">
        <v>0.4762</v>
      </c>
      <c r="M93" s="1" t="n">
        <v>5.935</v>
      </c>
      <c r="N93" s="1" t="n">
        <v>1.6</v>
      </c>
      <c r="O93" s="1" t="n">
        <v>5.715</v>
      </c>
      <c r="P93" s="1" t="n">
        <v>0.9446</v>
      </c>
      <c r="Q93" s="1" t="n">
        <v>74.36</v>
      </c>
      <c r="R93" s="1" t="n">
        <v>-0.05177</v>
      </c>
      <c r="S93" s="1" t="n">
        <v>0.5</v>
      </c>
      <c r="T93" s="5" t="n">
        <v>7.978E-006</v>
      </c>
      <c r="U93" s="5" t="n">
        <v>0.002675</v>
      </c>
      <c r="V93" s="1" t="n">
        <v>23.2</v>
      </c>
    </row>
    <row r="94" customFormat="false" ht="12.8" hidden="false" customHeight="false" outlineLevel="0" collapsed="false">
      <c r="A94" s="1" t="n">
        <v>31</v>
      </c>
      <c r="B94" s="4" t="str">
        <f aca="false">IF(LEFT(E94,2)="S1","01.11.2024",IF(LEFT(E94,2)="S2","24.07.2025",IF(LEFT(E94,2)="S3","14.04.2025",IF(LEFT(E94,2)="S4","04.12.2025","04.12.2025"))))</f>
        <v>04.12.2025</v>
      </c>
      <c r="C94" s="4" t="str">
        <f aca="false">IF(LEFT(E94,2)="S5","Spritz","Standard")</f>
        <v>Standard</v>
      </c>
      <c r="D94" s="4" t="n">
        <v>2</v>
      </c>
      <c r="E94" s="4" t="s">
        <v>25</v>
      </c>
      <c r="F94" s="1" t="s">
        <v>23</v>
      </c>
      <c r="G94" s="1" t="n">
        <v>788.9</v>
      </c>
      <c r="H94" s="1" t="n">
        <v>775.4</v>
      </c>
      <c r="I94" s="1" t="n">
        <v>23</v>
      </c>
      <c r="J94" s="1" t="n">
        <v>1</v>
      </c>
      <c r="K94" s="1" t="n">
        <v>10.0251</v>
      </c>
      <c r="L94" s="1" t="n">
        <v>0.4851</v>
      </c>
      <c r="M94" s="1" t="n">
        <v>4.839</v>
      </c>
      <c r="N94" s="1" t="n">
        <v>1.087</v>
      </c>
      <c r="O94" s="1" t="n">
        <v>4.715</v>
      </c>
      <c r="P94" s="1" t="n">
        <v>0.7701</v>
      </c>
      <c r="Q94" s="1" t="n">
        <v>77.02</v>
      </c>
      <c r="R94" s="1" t="n">
        <v>-0.05234</v>
      </c>
      <c r="S94" s="1" t="n">
        <v>0.5</v>
      </c>
      <c r="T94" s="5" t="n">
        <v>8.126E-006</v>
      </c>
      <c r="U94" s="5" t="n">
        <v>0.003342</v>
      </c>
    </row>
    <row r="95" customFormat="false" ht="12.8" hidden="false" customHeight="false" outlineLevel="0" collapsed="false">
      <c r="A95" s="1" t="n">
        <v>1</v>
      </c>
      <c r="B95" s="4" t="s">
        <v>26</v>
      </c>
      <c r="C95" s="4" t="str">
        <f aca="false">IF(LEFT(E95,2)="S5","Spritz","Standard")</f>
        <v>Standard</v>
      </c>
      <c r="D95" s="4" t="n">
        <f aca="false">IF(RIGHT(E95,2)=".1",1,IF(RIGHT(E95,2)=".2",2,0))</f>
        <v>0</v>
      </c>
      <c r="E95" s="6" t="s">
        <v>27</v>
      </c>
      <c r="F95" s="1" t="s">
        <v>23</v>
      </c>
      <c r="G95" s="1" t="n">
        <v>68.29</v>
      </c>
      <c r="H95" s="1" t="n">
        <v>25</v>
      </c>
      <c r="I95" s="1" t="n">
        <v>23</v>
      </c>
      <c r="J95" s="1" t="n">
        <v>1</v>
      </c>
      <c r="K95" s="1" t="n">
        <v>0.0102903</v>
      </c>
      <c r="L95" s="5" t="n">
        <v>0.003435</v>
      </c>
      <c r="M95" s="1" t="n">
        <v>33.38</v>
      </c>
      <c r="N95" s="1" t="n">
        <v>33.05</v>
      </c>
      <c r="O95" s="1" t="n">
        <v>4.694</v>
      </c>
      <c r="P95" s="1" t="n">
        <v>5.312</v>
      </c>
      <c r="Q95" s="1" t="n">
        <v>8.09</v>
      </c>
      <c r="R95" s="1" t="n">
        <v>-0.03368</v>
      </c>
      <c r="S95" s="1" t="n">
        <v>0.5</v>
      </c>
      <c r="T95" s="5" t="n">
        <v>5.754E-008</v>
      </c>
      <c r="U95" s="5" t="n">
        <v>3.43E-006</v>
      </c>
      <c r="V95" s="1" t="n">
        <v>3.748</v>
      </c>
    </row>
    <row r="96" customFormat="false" ht="12.8" hidden="false" customHeight="false" outlineLevel="0" collapsed="false">
      <c r="A96" s="1" t="n">
        <v>2</v>
      </c>
      <c r="B96" s="4" t="s">
        <v>26</v>
      </c>
      <c r="C96" s="4" t="str">
        <f aca="false">IF(LEFT(E96,2)="S5","Spritz","Standard")</f>
        <v>Standard</v>
      </c>
      <c r="D96" s="4" t="n">
        <f aca="false">IF(RIGHT(E96,2)=".1",1,IF(RIGHT(E96,2)=".2",2,0))</f>
        <v>0</v>
      </c>
      <c r="E96" s="6" t="s">
        <v>27</v>
      </c>
      <c r="F96" s="1" t="s">
        <v>23</v>
      </c>
      <c r="G96" s="1" t="n">
        <v>93.31</v>
      </c>
      <c r="H96" s="1" t="n">
        <v>50.02</v>
      </c>
      <c r="I96" s="1" t="n">
        <v>23</v>
      </c>
      <c r="J96" s="1" t="n">
        <v>1</v>
      </c>
      <c r="K96" s="1" t="n">
        <v>0.0133422</v>
      </c>
      <c r="L96" s="5" t="n">
        <v>0.004493</v>
      </c>
      <c r="M96" s="1" t="n">
        <v>33.68</v>
      </c>
      <c r="N96" s="1" t="n">
        <v>33.21</v>
      </c>
      <c r="O96" s="1" t="n">
        <v>5.576</v>
      </c>
      <c r="P96" s="1" t="n">
        <v>5.36</v>
      </c>
      <c r="Q96" s="1" t="n">
        <v>9.53</v>
      </c>
      <c r="R96" s="1" t="n">
        <v>-0.03389</v>
      </c>
      <c r="S96" s="1" t="n">
        <v>0.5</v>
      </c>
      <c r="T96" s="5" t="n">
        <v>7.528E-008</v>
      </c>
      <c r="U96" s="5" t="n">
        <v>4.448E-006</v>
      </c>
      <c r="V96" s="1" t="n">
        <v>1.55</v>
      </c>
    </row>
    <row r="97" customFormat="false" ht="12.8" hidden="false" customHeight="false" outlineLevel="0" collapsed="false">
      <c r="A97" s="1" t="n">
        <v>3</v>
      </c>
      <c r="B97" s="4" t="s">
        <v>26</v>
      </c>
      <c r="C97" s="4" t="str">
        <f aca="false">IF(LEFT(E97,2)="S5","Spritz","Standard")</f>
        <v>Standard</v>
      </c>
      <c r="D97" s="4" t="n">
        <f aca="false">IF(RIGHT(E97,2)=".1",1,IF(RIGHT(E97,2)=".2",2,0))</f>
        <v>0</v>
      </c>
      <c r="E97" s="6" t="s">
        <v>27</v>
      </c>
      <c r="F97" s="1" t="s">
        <v>23</v>
      </c>
      <c r="G97" s="1" t="n">
        <v>118.3</v>
      </c>
      <c r="H97" s="1" t="n">
        <v>75.04</v>
      </c>
      <c r="I97" s="1" t="n">
        <v>23</v>
      </c>
      <c r="J97" s="1" t="n">
        <v>1</v>
      </c>
      <c r="K97" s="1" t="n">
        <v>0.0157251</v>
      </c>
      <c r="L97" s="5" t="n">
        <v>0.005288</v>
      </c>
      <c r="M97" s="1" t="n">
        <v>33.63</v>
      </c>
      <c r="N97" s="1" t="n">
        <v>33.17</v>
      </c>
      <c r="O97" s="1" t="n">
        <v>5.537</v>
      </c>
      <c r="P97" s="1" t="n">
        <v>5.352</v>
      </c>
      <c r="Q97" s="1" t="n">
        <v>9.48</v>
      </c>
      <c r="R97" s="1" t="n">
        <v>-0.03485</v>
      </c>
      <c r="S97" s="1" t="n">
        <v>0.5</v>
      </c>
      <c r="T97" s="5" t="n">
        <v>8.859E-008</v>
      </c>
      <c r="U97" s="5" t="n">
        <v>5.242E-006</v>
      </c>
      <c r="V97" s="1" t="n">
        <v>0.9565</v>
      </c>
    </row>
    <row r="98" customFormat="false" ht="12.8" hidden="false" customHeight="false" outlineLevel="0" collapsed="false">
      <c r="A98" s="1" t="n">
        <v>4</v>
      </c>
      <c r="B98" s="4" t="s">
        <v>26</v>
      </c>
      <c r="C98" s="4" t="str">
        <f aca="false">IF(LEFT(E98,2)="S5","Spritz","Standard")</f>
        <v>Standard</v>
      </c>
      <c r="D98" s="4" t="n">
        <f aca="false">IF(RIGHT(E98,2)=".1",1,IF(RIGHT(E98,2)=".2",2,0))</f>
        <v>0</v>
      </c>
      <c r="E98" s="6" t="s">
        <v>27</v>
      </c>
      <c r="F98" s="1" t="s">
        <v>23</v>
      </c>
      <c r="G98" s="1" t="n">
        <v>143.3</v>
      </c>
      <c r="H98" s="1" t="n">
        <v>100</v>
      </c>
      <c r="I98" s="1" t="n">
        <v>23</v>
      </c>
      <c r="J98" s="1" t="n">
        <v>1</v>
      </c>
      <c r="K98" s="1" t="n">
        <v>0.0195351</v>
      </c>
      <c r="L98" s="5" t="n">
        <v>0.006517</v>
      </c>
      <c r="M98" s="1" t="n">
        <v>33.36</v>
      </c>
      <c r="N98" s="1" t="n">
        <v>33.05</v>
      </c>
      <c r="O98" s="1" t="n">
        <v>4.584</v>
      </c>
      <c r="P98" s="1" t="n">
        <v>5.31</v>
      </c>
      <c r="Q98" s="1" t="n">
        <v>7.9</v>
      </c>
      <c r="R98" s="1" t="n">
        <v>-0.03583</v>
      </c>
      <c r="S98" s="1" t="n">
        <v>0.5</v>
      </c>
      <c r="T98" s="5" t="n">
        <v>1.092E-007</v>
      </c>
      <c r="U98" s="5" t="n">
        <v>6.512E-006</v>
      </c>
      <c r="V98" s="1" t="n">
        <v>1.392</v>
      </c>
    </row>
    <row r="99" customFormat="false" ht="12.8" hidden="false" customHeight="false" outlineLevel="0" collapsed="false">
      <c r="A99" s="1" t="n">
        <v>5</v>
      </c>
      <c r="B99" s="4" t="s">
        <v>26</v>
      </c>
      <c r="C99" s="4" t="str">
        <f aca="false">IF(LEFT(E99,2)="S5","Spritz","Standard")</f>
        <v>Standard</v>
      </c>
      <c r="D99" s="4" t="n">
        <f aca="false">IF(RIGHT(E99,2)=".1",1,IF(RIGHT(E99,2)=".2",2,0))</f>
        <v>0</v>
      </c>
      <c r="E99" s="6" t="s">
        <v>27</v>
      </c>
      <c r="F99" s="1" t="s">
        <v>23</v>
      </c>
      <c r="G99" s="1" t="n">
        <v>168.3</v>
      </c>
      <c r="H99" s="1" t="n">
        <v>125.1</v>
      </c>
      <c r="I99" s="1" t="n">
        <v>23</v>
      </c>
      <c r="J99" s="1" t="n">
        <v>1</v>
      </c>
      <c r="K99" s="1" t="n">
        <v>0.0251811</v>
      </c>
      <c r="L99" s="5" t="n">
        <v>0.008258</v>
      </c>
      <c r="M99" s="1" t="n">
        <v>32.8</v>
      </c>
      <c r="N99" s="1" t="n">
        <v>32.39</v>
      </c>
      <c r="O99" s="1" t="n">
        <v>5.151</v>
      </c>
      <c r="P99" s="1" t="n">
        <v>5.22</v>
      </c>
      <c r="Q99" s="1" t="n">
        <v>9.04</v>
      </c>
      <c r="R99" s="1" t="n">
        <v>-0.03617</v>
      </c>
      <c r="S99" s="1" t="n">
        <v>0.5</v>
      </c>
      <c r="T99" s="5" t="n">
        <v>1.384E-007</v>
      </c>
      <c r="U99" s="5" t="n">
        <v>8.394E-006</v>
      </c>
      <c r="V99" s="1" t="n">
        <v>0.882</v>
      </c>
    </row>
    <row r="100" customFormat="false" ht="12.8" hidden="false" customHeight="false" outlineLevel="0" collapsed="false">
      <c r="A100" s="1" t="n">
        <v>6</v>
      </c>
      <c r="B100" s="4" t="s">
        <v>26</v>
      </c>
      <c r="C100" s="4" t="str">
        <f aca="false">IF(LEFT(E100,2)="S5","Spritz","Standard")</f>
        <v>Standard</v>
      </c>
      <c r="D100" s="4" t="n">
        <f aca="false">IF(RIGHT(E100,2)=".1",1,IF(RIGHT(E100,2)=".2",2,0))</f>
        <v>0</v>
      </c>
      <c r="E100" s="6" t="s">
        <v>27</v>
      </c>
      <c r="F100" s="1" t="s">
        <v>23</v>
      </c>
      <c r="G100" s="1" t="n">
        <v>193.4</v>
      </c>
      <c r="H100" s="1" t="n">
        <v>150.1</v>
      </c>
      <c r="I100" s="1" t="n">
        <v>23</v>
      </c>
      <c r="J100" s="1" t="n">
        <v>1</v>
      </c>
      <c r="K100" s="1" t="n">
        <v>0.0314608</v>
      </c>
      <c r="L100" s="1" t="n">
        <v>0.01017</v>
      </c>
      <c r="M100" s="1" t="n">
        <v>32.32</v>
      </c>
      <c r="N100" s="1" t="n">
        <v>31.84</v>
      </c>
      <c r="O100" s="1" t="n">
        <v>5.536</v>
      </c>
      <c r="P100" s="1" t="n">
        <v>5.143</v>
      </c>
      <c r="Q100" s="1" t="n">
        <v>9.86</v>
      </c>
      <c r="R100" s="1" t="n">
        <v>-0.03676</v>
      </c>
      <c r="S100" s="1" t="n">
        <v>0.5</v>
      </c>
      <c r="T100" s="5" t="n">
        <v>1.703E-007</v>
      </c>
      <c r="U100" s="5" t="n">
        <v>1.049E-005</v>
      </c>
      <c r="V100" s="1" t="n">
        <v>1.202</v>
      </c>
    </row>
    <row r="101" customFormat="false" ht="12.8" hidden="false" customHeight="false" outlineLevel="0" collapsed="false">
      <c r="A101" s="1" t="n">
        <v>7</v>
      </c>
      <c r="B101" s="4" t="s">
        <v>26</v>
      </c>
      <c r="C101" s="4" t="str">
        <f aca="false">IF(LEFT(E101,2)="S5","Spritz","Standard")</f>
        <v>Standard</v>
      </c>
      <c r="D101" s="4" t="n">
        <f aca="false">IF(RIGHT(E101,2)=".1",1,IF(RIGHT(E101,2)=".2",2,0))</f>
        <v>0</v>
      </c>
      <c r="E101" s="6" t="s">
        <v>27</v>
      </c>
      <c r="F101" s="1" t="s">
        <v>23</v>
      </c>
      <c r="G101" s="1" t="n">
        <v>218.4</v>
      </c>
      <c r="H101" s="1" t="n">
        <v>175.1</v>
      </c>
      <c r="I101" s="1" t="n">
        <v>23</v>
      </c>
      <c r="J101" s="1" t="n">
        <v>1</v>
      </c>
      <c r="K101" s="1" t="n">
        <v>0.0391991</v>
      </c>
      <c r="L101" s="1" t="n">
        <v>0.01241</v>
      </c>
      <c r="M101" s="1" t="n">
        <v>31.66</v>
      </c>
      <c r="N101" s="1" t="n">
        <v>31.2</v>
      </c>
      <c r="O101" s="1" t="n">
        <v>5.364</v>
      </c>
      <c r="P101" s="1" t="n">
        <v>5.039</v>
      </c>
      <c r="Q101" s="1" t="n">
        <v>9.75</v>
      </c>
      <c r="R101" s="1" t="n">
        <v>-0.03788</v>
      </c>
      <c r="S101" s="1" t="n">
        <v>0.5</v>
      </c>
      <c r="T101" s="5" t="n">
        <v>2.079E-007</v>
      </c>
      <c r="U101" s="5" t="n">
        <v>1.307E-005</v>
      </c>
      <c r="V101" s="1" t="n">
        <v>0.7091</v>
      </c>
    </row>
    <row r="102" customFormat="false" ht="12.8" hidden="false" customHeight="false" outlineLevel="0" collapsed="false">
      <c r="A102" s="1" t="n">
        <v>8</v>
      </c>
      <c r="B102" s="4" t="s">
        <v>26</v>
      </c>
      <c r="C102" s="4" t="str">
        <f aca="false">IF(LEFT(E102,2)="S5","Spritz","Standard")</f>
        <v>Standard</v>
      </c>
      <c r="D102" s="4" t="n">
        <f aca="false">IF(RIGHT(E102,2)=".1",1,IF(RIGHT(E102,2)=".2",2,0))</f>
        <v>0</v>
      </c>
      <c r="E102" s="6" t="s">
        <v>27</v>
      </c>
      <c r="F102" s="1" t="s">
        <v>23</v>
      </c>
      <c r="G102" s="1" t="n">
        <v>243.4</v>
      </c>
      <c r="H102" s="1" t="n">
        <v>200.1</v>
      </c>
      <c r="I102" s="1" t="n">
        <v>23</v>
      </c>
      <c r="J102" s="1" t="n">
        <v>1</v>
      </c>
      <c r="K102" s="1" t="n">
        <v>0.0502715</v>
      </c>
      <c r="L102" s="1" t="n">
        <v>0.01577</v>
      </c>
      <c r="M102" s="1" t="n">
        <v>31.38</v>
      </c>
      <c r="N102" s="1" t="n">
        <v>30.93</v>
      </c>
      <c r="O102" s="1" t="n">
        <v>5.265</v>
      </c>
      <c r="P102" s="1" t="n">
        <v>4.994</v>
      </c>
      <c r="Q102" s="1" t="n">
        <v>9.66</v>
      </c>
      <c r="R102" s="1" t="n">
        <v>-0.03769</v>
      </c>
      <c r="S102" s="1" t="n">
        <v>0.5</v>
      </c>
      <c r="T102" s="5" t="n">
        <v>2.642E-007</v>
      </c>
      <c r="U102" s="5" t="n">
        <v>1.676E-005</v>
      </c>
      <c r="V102" s="1" t="n">
        <v>0.6759</v>
      </c>
    </row>
    <row r="103" customFormat="false" ht="12.8" hidden="false" customHeight="false" outlineLevel="0" collapsed="false">
      <c r="A103" s="1" t="n">
        <v>9</v>
      </c>
      <c r="B103" s="4" t="s">
        <v>26</v>
      </c>
      <c r="C103" s="4" t="str">
        <f aca="false">IF(LEFT(E103,2)="S5","Spritz","Standard")</f>
        <v>Standard</v>
      </c>
      <c r="D103" s="4" t="n">
        <f aca="false">IF(RIGHT(E103,2)=".1",1,IF(RIGHT(E103,2)=".2",2,0))</f>
        <v>0</v>
      </c>
      <c r="E103" s="6" t="s">
        <v>27</v>
      </c>
      <c r="F103" s="1" t="s">
        <v>23</v>
      </c>
      <c r="G103" s="1" t="n">
        <v>268.4</v>
      </c>
      <c r="H103" s="1" t="n">
        <v>225.1</v>
      </c>
      <c r="I103" s="1" t="n">
        <v>23</v>
      </c>
      <c r="J103" s="1" t="n">
        <v>1</v>
      </c>
      <c r="K103" s="1" t="n">
        <v>0.0636757</v>
      </c>
      <c r="L103" s="1" t="n">
        <v>0.01964</v>
      </c>
      <c r="M103" s="1" t="n">
        <v>30.85</v>
      </c>
      <c r="N103" s="1" t="n">
        <v>30.38</v>
      </c>
      <c r="O103" s="1" t="n">
        <v>5.37</v>
      </c>
      <c r="P103" s="1" t="n">
        <v>4.91</v>
      </c>
      <c r="Q103" s="1" t="n">
        <v>10.02</v>
      </c>
      <c r="R103" s="1" t="n">
        <v>-0.03819</v>
      </c>
      <c r="S103" s="1" t="n">
        <v>0.5</v>
      </c>
      <c r="T103" s="5" t="n">
        <v>3.291E-007</v>
      </c>
      <c r="U103" s="5" t="n">
        <v>2.123E-005</v>
      </c>
      <c r="V103" s="1" t="n">
        <v>0.5293</v>
      </c>
    </row>
    <row r="104" customFormat="false" ht="12.8" hidden="false" customHeight="false" outlineLevel="0" collapsed="false">
      <c r="A104" s="1" t="n">
        <v>10</v>
      </c>
      <c r="B104" s="4" t="s">
        <v>26</v>
      </c>
      <c r="C104" s="4" t="str">
        <f aca="false">IF(LEFT(E104,2)="S5","Spritz","Standard")</f>
        <v>Standard</v>
      </c>
      <c r="D104" s="4" t="n">
        <f aca="false">IF(RIGHT(E104,2)=".1",1,IF(RIGHT(E104,2)=".2",2,0))</f>
        <v>0</v>
      </c>
      <c r="E104" s="6" t="s">
        <v>27</v>
      </c>
      <c r="F104" s="1" t="s">
        <v>23</v>
      </c>
      <c r="G104" s="1" t="n">
        <v>293.4</v>
      </c>
      <c r="H104" s="1" t="n">
        <v>250.1</v>
      </c>
      <c r="I104" s="1" t="n">
        <v>23</v>
      </c>
      <c r="J104" s="1" t="n">
        <v>1</v>
      </c>
      <c r="K104" s="1" t="n">
        <v>0.0786206</v>
      </c>
      <c r="L104" s="1" t="n">
        <v>0.02376</v>
      </c>
      <c r="M104" s="1" t="n">
        <v>30.22</v>
      </c>
      <c r="N104" s="1" t="n">
        <v>29.71</v>
      </c>
      <c r="O104" s="1" t="n">
        <v>5.524</v>
      </c>
      <c r="P104" s="1" t="n">
        <v>4.81</v>
      </c>
      <c r="Q104" s="1" t="n">
        <v>10.53</v>
      </c>
      <c r="R104" s="1" t="n">
        <v>-0.03869</v>
      </c>
      <c r="S104" s="1" t="n">
        <v>0.5</v>
      </c>
      <c r="T104" s="5" t="n">
        <v>3.981E-007</v>
      </c>
      <c r="U104" s="5" t="n">
        <v>2.621E-005</v>
      </c>
      <c r="V104" s="1" t="n">
        <v>0.7194</v>
      </c>
    </row>
    <row r="105" customFormat="false" ht="12.8" hidden="false" customHeight="false" outlineLevel="0" collapsed="false">
      <c r="A105" s="1" t="n">
        <v>11</v>
      </c>
      <c r="B105" s="4" t="s">
        <v>26</v>
      </c>
      <c r="C105" s="4" t="str">
        <f aca="false">IF(LEFT(E105,2)="S5","Spritz","Standard")</f>
        <v>Standard</v>
      </c>
      <c r="D105" s="4" t="n">
        <f aca="false">IF(RIGHT(E105,2)=".1",1,IF(RIGHT(E105,2)=".2",2,0))</f>
        <v>0</v>
      </c>
      <c r="E105" s="6" t="s">
        <v>27</v>
      </c>
      <c r="F105" s="1" t="s">
        <v>23</v>
      </c>
      <c r="G105" s="1" t="n">
        <v>318.4</v>
      </c>
      <c r="H105" s="1" t="n">
        <v>275.1</v>
      </c>
      <c r="I105" s="1" t="n">
        <v>23</v>
      </c>
      <c r="J105" s="1" t="n">
        <v>1</v>
      </c>
      <c r="K105" s="1" t="n">
        <v>0.0996755</v>
      </c>
      <c r="L105" s="1" t="n">
        <v>0.02922</v>
      </c>
      <c r="M105" s="1" t="n">
        <v>29.32</v>
      </c>
      <c r="N105" s="1" t="n">
        <v>28.78</v>
      </c>
      <c r="O105" s="1" t="n">
        <v>5.574</v>
      </c>
      <c r="P105" s="1" t="n">
        <v>4.666</v>
      </c>
      <c r="Q105" s="1" t="n">
        <v>10.96</v>
      </c>
      <c r="R105" s="1" t="n">
        <v>-0.03993</v>
      </c>
      <c r="S105" s="1" t="n">
        <v>0.5</v>
      </c>
      <c r="T105" s="5" t="n">
        <v>4.896E-007</v>
      </c>
      <c r="U105" s="5" t="n">
        <v>3.323E-005</v>
      </c>
      <c r="V105" s="1" t="n">
        <v>0.7124</v>
      </c>
    </row>
    <row r="106" customFormat="false" ht="12.8" hidden="false" customHeight="false" outlineLevel="0" collapsed="false">
      <c r="A106" s="1" t="n">
        <v>12</v>
      </c>
      <c r="B106" s="4" t="s">
        <v>26</v>
      </c>
      <c r="C106" s="4" t="str">
        <f aca="false">IF(LEFT(E106,2)="S5","Spritz","Standard")</f>
        <v>Standard</v>
      </c>
      <c r="D106" s="4" t="n">
        <f aca="false">IF(RIGHT(E106,2)=".1",1,IF(RIGHT(E106,2)=".2",2,0))</f>
        <v>0</v>
      </c>
      <c r="E106" s="6" t="s">
        <v>27</v>
      </c>
      <c r="F106" s="1" t="s">
        <v>23</v>
      </c>
      <c r="G106" s="1" t="n">
        <v>343.4</v>
      </c>
      <c r="H106" s="1" t="n">
        <v>300.1</v>
      </c>
      <c r="I106" s="1" t="n">
        <v>23</v>
      </c>
      <c r="J106" s="1" t="n">
        <v>1</v>
      </c>
      <c r="K106" s="1" t="n">
        <v>0.126272</v>
      </c>
      <c r="L106" s="1" t="n">
        <v>0.03576</v>
      </c>
      <c r="M106" s="1" t="n">
        <v>28.32</v>
      </c>
      <c r="N106" s="1" t="n">
        <v>27.75</v>
      </c>
      <c r="O106" s="1" t="n">
        <v>5.657</v>
      </c>
      <c r="P106" s="1" t="n">
        <v>4.507</v>
      </c>
      <c r="Q106" s="1" t="n">
        <v>11.52</v>
      </c>
      <c r="R106" s="1" t="n">
        <v>-0.04005</v>
      </c>
      <c r="S106" s="1" t="n">
        <v>0.5</v>
      </c>
      <c r="T106" s="5" t="n">
        <v>5.99E-007</v>
      </c>
      <c r="U106" s="5" t="n">
        <v>4.209E-005</v>
      </c>
      <c r="V106" s="1" t="n">
        <v>0.8275</v>
      </c>
    </row>
    <row r="107" customFormat="false" ht="12.8" hidden="false" customHeight="false" outlineLevel="0" collapsed="false">
      <c r="A107" s="1" t="n">
        <v>13</v>
      </c>
      <c r="B107" s="4" t="s">
        <v>26</v>
      </c>
      <c r="C107" s="4" t="str">
        <f aca="false">IF(LEFT(E107,2)="S5","Spritz","Standard")</f>
        <v>Standard</v>
      </c>
      <c r="D107" s="4" t="n">
        <f aca="false">IF(RIGHT(E107,2)=".1",1,IF(RIGHT(E107,2)=".2",2,0))</f>
        <v>0</v>
      </c>
      <c r="E107" s="6" t="s">
        <v>27</v>
      </c>
      <c r="F107" s="1" t="s">
        <v>23</v>
      </c>
      <c r="G107" s="1" t="n">
        <v>368.5</v>
      </c>
      <c r="H107" s="1" t="n">
        <v>325.2</v>
      </c>
      <c r="I107" s="1" t="n">
        <v>23</v>
      </c>
      <c r="J107" s="1" t="n">
        <v>1</v>
      </c>
      <c r="K107" s="1" t="n">
        <v>0.158839</v>
      </c>
      <c r="L107" s="1" t="n">
        <v>0.04325</v>
      </c>
      <c r="M107" s="1" t="n">
        <v>27.23</v>
      </c>
      <c r="N107" s="1" t="n">
        <v>26.62</v>
      </c>
      <c r="O107" s="1" t="n">
        <v>5.72</v>
      </c>
      <c r="P107" s="1" t="n">
        <v>4.333</v>
      </c>
      <c r="Q107" s="1" t="n">
        <v>12.13</v>
      </c>
      <c r="R107" s="1" t="n">
        <v>-0.03997</v>
      </c>
      <c r="S107" s="1" t="n">
        <v>0.5</v>
      </c>
      <c r="T107" s="5" t="n">
        <v>7.245E-007</v>
      </c>
      <c r="U107" s="5" t="n">
        <v>5.295E-005</v>
      </c>
      <c r="V107" s="1" t="n">
        <v>0.9454</v>
      </c>
    </row>
    <row r="108" customFormat="false" ht="12.8" hidden="false" customHeight="false" outlineLevel="0" collapsed="false">
      <c r="A108" s="1" t="n">
        <v>14</v>
      </c>
      <c r="B108" s="4" t="s">
        <v>26</v>
      </c>
      <c r="C108" s="4" t="str">
        <f aca="false">IF(LEFT(E108,2)="S5","Spritz","Standard")</f>
        <v>Standard</v>
      </c>
      <c r="D108" s="4" t="n">
        <f aca="false">IF(RIGHT(E108,2)=".1",1,IF(RIGHT(E108,2)=".2",2,0))</f>
        <v>0</v>
      </c>
      <c r="E108" s="6" t="s">
        <v>27</v>
      </c>
      <c r="F108" s="1" t="s">
        <v>23</v>
      </c>
      <c r="G108" s="1" t="n">
        <v>393.5</v>
      </c>
      <c r="H108" s="1" t="n">
        <v>350.2</v>
      </c>
      <c r="I108" s="1" t="n">
        <v>23</v>
      </c>
      <c r="J108" s="1" t="n">
        <v>1</v>
      </c>
      <c r="K108" s="1" t="n">
        <v>0.198492</v>
      </c>
      <c r="L108" s="1" t="n">
        <v>0.0516</v>
      </c>
      <c r="M108" s="1" t="n">
        <v>25.99</v>
      </c>
      <c r="N108" s="1" t="n">
        <v>25.33</v>
      </c>
      <c r="O108" s="1" t="n">
        <v>5.852</v>
      </c>
      <c r="P108" s="1" t="n">
        <v>4.137</v>
      </c>
      <c r="Q108" s="1" t="n">
        <v>13.01</v>
      </c>
      <c r="R108" s="1" t="n">
        <v>-0.04058</v>
      </c>
      <c r="S108" s="1" t="n">
        <v>0.5</v>
      </c>
      <c r="T108" s="5" t="n">
        <v>8.644E-007</v>
      </c>
      <c r="U108" s="5" t="n">
        <v>6.617E-005</v>
      </c>
      <c r="V108" s="1" t="n">
        <v>0.7094</v>
      </c>
    </row>
    <row r="109" customFormat="false" ht="12.8" hidden="false" customHeight="false" outlineLevel="0" collapsed="false">
      <c r="A109" s="1" t="n">
        <v>15</v>
      </c>
      <c r="B109" s="4" t="s">
        <v>26</v>
      </c>
      <c r="C109" s="4" t="str">
        <f aca="false">IF(LEFT(E109,2)="S5","Spritz","Standard")</f>
        <v>Standard</v>
      </c>
      <c r="D109" s="4" t="n">
        <f aca="false">IF(RIGHT(E109,2)=".1",1,IF(RIGHT(E109,2)=".2",2,0))</f>
        <v>0</v>
      </c>
      <c r="E109" s="6" t="s">
        <v>27</v>
      </c>
      <c r="F109" s="1" t="s">
        <v>23</v>
      </c>
      <c r="G109" s="1" t="n">
        <v>418.5</v>
      </c>
      <c r="H109" s="1" t="n">
        <v>375.2</v>
      </c>
      <c r="I109" s="1" t="n">
        <v>23</v>
      </c>
      <c r="J109" s="1" t="n">
        <v>1</v>
      </c>
      <c r="K109" s="1" t="n">
        <v>0.251603</v>
      </c>
      <c r="L109" s="1" t="n">
        <v>0.06176</v>
      </c>
      <c r="M109" s="1" t="n">
        <v>24.55</v>
      </c>
      <c r="N109" s="1" t="n">
        <v>23.81</v>
      </c>
      <c r="O109" s="1" t="n">
        <v>5.983</v>
      </c>
      <c r="P109" s="1" t="n">
        <v>3.907</v>
      </c>
      <c r="Q109" s="1" t="n">
        <v>14.11</v>
      </c>
      <c r="R109" s="1" t="n">
        <v>-0.0409</v>
      </c>
      <c r="S109" s="1" t="n">
        <v>0.5</v>
      </c>
      <c r="T109" s="5" t="n">
        <v>1.035E-006</v>
      </c>
      <c r="U109" s="5" t="n">
        <v>8.387E-005</v>
      </c>
      <c r="V109" s="1" t="n">
        <v>0.8332</v>
      </c>
    </row>
    <row r="110" customFormat="false" ht="12.8" hidden="false" customHeight="false" outlineLevel="0" collapsed="false">
      <c r="A110" s="1" t="n">
        <v>16</v>
      </c>
      <c r="B110" s="4" t="s">
        <v>26</v>
      </c>
      <c r="C110" s="4" t="str">
        <f aca="false">IF(LEFT(E110,2)="S5","Spritz","Standard")</f>
        <v>Standard</v>
      </c>
      <c r="D110" s="4" t="n">
        <f aca="false">IF(RIGHT(E110,2)=".1",1,IF(RIGHT(E110,2)=".2",2,0))</f>
        <v>0</v>
      </c>
      <c r="E110" s="6" t="s">
        <v>27</v>
      </c>
      <c r="F110" s="1" t="s">
        <v>23</v>
      </c>
      <c r="G110" s="1" t="n">
        <v>443.5</v>
      </c>
      <c r="H110" s="1" t="n">
        <v>400.2</v>
      </c>
      <c r="I110" s="1" t="n">
        <v>23</v>
      </c>
      <c r="J110" s="1" t="n">
        <v>1</v>
      </c>
      <c r="K110" s="1" t="n">
        <v>0.316122</v>
      </c>
      <c r="L110" s="1" t="n">
        <v>0.07275</v>
      </c>
      <c r="M110" s="1" t="n">
        <v>23.01</v>
      </c>
      <c r="N110" s="1" t="n">
        <v>22.21</v>
      </c>
      <c r="O110" s="1" t="n">
        <v>6.026</v>
      </c>
      <c r="P110" s="1" t="n">
        <v>3.663</v>
      </c>
      <c r="Q110" s="1" t="n">
        <v>15.18</v>
      </c>
      <c r="R110" s="1" t="n">
        <v>-0.04137</v>
      </c>
      <c r="S110" s="1" t="n">
        <v>0.5</v>
      </c>
      <c r="T110" s="5" t="n">
        <v>1.219E-006</v>
      </c>
      <c r="U110" s="5" t="n">
        <v>0.0001054</v>
      </c>
      <c r="V110" s="1" t="n">
        <v>1.029</v>
      </c>
    </row>
    <row r="111" customFormat="false" ht="12.8" hidden="false" customHeight="false" outlineLevel="0" collapsed="false">
      <c r="A111" s="1" t="n">
        <v>17</v>
      </c>
      <c r="B111" s="4" t="s">
        <v>26</v>
      </c>
      <c r="C111" s="4" t="str">
        <f aca="false">IF(LEFT(E111,2)="S5","Spritz","Standard")</f>
        <v>Standard</v>
      </c>
      <c r="D111" s="4" t="n">
        <f aca="false">IF(RIGHT(E111,2)=".1",1,IF(RIGHT(E111,2)=".2",2,0))</f>
        <v>0</v>
      </c>
      <c r="E111" s="6" t="s">
        <v>27</v>
      </c>
      <c r="F111" s="1" t="s">
        <v>23</v>
      </c>
      <c r="G111" s="1" t="n">
        <v>468.5</v>
      </c>
      <c r="H111" s="1" t="n">
        <v>425.2</v>
      </c>
      <c r="I111" s="1" t="n">
        <v>23</v>
      </c>
      <c r="J111" s="1" t="n">
        <v>1</v>
      </c>
      <c r="K111" s="1" t="n">
        <v>0.397116</v>
      </c>
      <c r="L111" s="1" t="n">
        <v>0.08523</v>
      </c>
      <c r="M111" s="1" t="n">
        <v>21.46</v>
      </c>
      <c r="N111" s="1" t="n">
        <v>20.59</v>
      </c>
      <c r="O111" s="1" t="n">
        <v>6.046</v>
      </c>
      <c r="P111" s="1" t="n">
        <v>3.416</v>
      </c>
      <c r="Q111" s="1" t="n">
        <v>16.36</v>
      </c>
      <c r="R111" s="1" t="n">
        <v>-0.04269</v>
      </c>
      <c r="S111" s="1" t="n">
        <v>0.5</v>
      </c>
      <c r="T111" s="5" t="n">
        <v>1.428E-006</v>
      </c>
      <c r="U111" s="5" t="n">
        <v>0.0001324</v>
      </c>
      <c r="V111" s="1" t="n">
        <v>1.246</v>
      </c>
    </row>
    <row r="112" customFormat="false" ht="12.8" hidden="false" customHeight="false" outlineLevel="0" collapsed="false">
      <c r="A112" s="1" t="n">
        <v>18</v>
      </c>
      <c r="B112" s="4" t="s">
        <v>26</v>
      </c>
      <c r="C112" s="4" t="str">
        <f aca="false">IF(LEFT(E112,2)="S5","Spritz","Standard")</f>
        <v>Standard</v>
      </c>
      <c r="D112" s="4" t="n">
        <f aca="false">IF(RIGHT(E112,2)=".1",1,IF(RIGHT(E112,2)=".2",2,0))</f>
        <v>0</v>
      </c>
      <c r="E112" s="6" t="s">
        <v>27</v>
      </c>
      <c r="F112" s="1" t="s">
        <v>23</v>
      </c>
      <c r="G112" s="1" t="n">
        <v>493.5</v>
      </c>
      <c r="H112" s="1" t="n">
        <v>450.2</v>
      </c>
      <c r="I112" s="1" t="n">
        <v>23</v>
      </c>
      <c r="J112" s="1" t="n">
        <v>1</v>
      </c>
      <c r="K112" s="1" t="n">
        <v>0.501079</v>
      </c>
      <c r="L112" s="1" t="n">
        <v>0.0988</v>
      </c>
      <c r="M112" s="1" t="n">
        <v>19.72</v>
      </c>
      <c r="N112" s="1" t="n">
        <v>18.78</v>
      </c>
      <c r="O112" s="1" t="n">
        <v>5.999</v>
      </c>
      <c r="P112" s="1" t="n">
        <v>3.138</v>
      </c>
      <c r="Q112" s="1" t="n">
        <v>17.71</v>
      </c>
      <c r="R112" s="1" t="n">
        <v>-0.04238</v>
      </c>
      <c r="S112" s="1" t="n">
        <v>0.5</v>
      </c>
      <c r="T112" s="5" t="n">
        <v>1.655E-006</v>
      </c>
      <c r="U112" s="5" t="n">
        <v>0.000167</v>
      </c>
      <c r="V112" s="1" t="n">
        <v>1.49</v>
      </c>
    </row>
    <row r="113" customFormat="false" ht="12.8" hidden="false" customHeight="false" outlineLevel="0" collapsed="false">
      <c r="A113" s="1" t="n">
        <v>19</v>
      </c>
      <c r="B113" s="4" t="s">
        <v>26</v>
      </c>
      <c r="C113" s="4" t="str">
        <f aca="false">IF(LEFT(E113,2)="S5","Spritz","Standard")</f>
        <v>Standard</v>
      </c>
      <c r="D113" s="4" t="n">
        <f aca="false">IF(RIGHT(E113,2)=".1",1,IF(RIGHT(E113,2)=".2",2,0))</f>
        <v>0</v>
      </c>
      <c r="E113" s="6" t="s">
        <v>27</v>
      </c>
      <c r="F113" s="1" t="s">
        <v>23</v>
      </c>
      <c r="G113" s="1" t="n">
        <v>518.5</v>
      </c>
      <c r="H113" s="1" t="n">
        <v>475.2</v>
      </c>
      <c r="I113" s="1" t="n">
        <v>23</v>
      </c>
      <c r="J113" s="1" t="n">
        <v>1</v>
      </c>
      <c r="K113" s="1" t="n">
        <v>0.632664</v>
      </c>
      <c r="L113" s="1" t="n">
        <v>0.1135</v>
      </c>
      <c r="M113" s="1" t="n">
        <v>17.95</v>
      </c>
      <c r="N113" s="1" t="n">
        <v>16.96</v>
      </c>
      <c r="O113" s="1" t="n">
        <v>5.862</v>
      </c>
      <c r="P113" s="1" t="n">
        <v>2.856</v>
      </c>
      <c r="Q113" s="1" t="n">
        <v>19.07</v>
      </c>
      <c r="R113" s="1" t="n">
        <v>-0.04254</v>
      </c>
      <c r="S113" s="1" t="n">
        <v>0.5</v>
      </c>
      <c r="T113" s="5" t="n">
        <v>1.902E-006</v>
      </c>
      <c r="U113" s="5" t="n">
        <v>0.0002109</v>
      </c>
      <c r="V113" s="1" t="n">
        <v>1.905</v>
      </c>
    </row>
    <row r="114" customFormat="false" ht="12.8" hidden="false" customHeight="false" outlineLevel="0" collapsed="false">
      <c r="A114" s="1" t="n">
        <v>20</v>
      </c>
      <c r="B114" s="4" t="s">
        <v>26</v>
      </c>
      <c r="C114" s="4" t="str">
        <f aca="false">IF(LEFT(E114,2)="S5","Spritz","Standard")</f>
        <v>Standard</v>
      </c>
      <c r="D114" s="4" t="n">
        <f aca="false">IF(RIGHT(E114,2)=".1",1,IF(RIGHT(E114,2)=".2",2,0))</f>
        <v>0</v>
      </c>
      <c r="E114" s="6" t="s">
        <v>27</v>
      </c>
      <c r="F114" s="1" t="s">
        <v>23</v>
      </c>
      <c r="G114" s="1" t="n">
        <v>543.5</v>
      </c>
      <c r="H114" s="1" t="n">
        <v>500.2</v>
      </c>
      <c r="I114" s="1" t="n">
        <v>23</v>
      </c>
      <c r="J114" s="1" t="n">
        <v>1</v>
      </c>
      <c r="K114" s="1" t="n">
        <v>0.795259</v>
      </c>
      <c r="L114" s="1" t="n">
        <v>0.1284</v>
      </c>
      <c r="M114" s="1" t="n">
        <v>16.15</v>
      </c>
      <c r="N114" s="1" t="n">
        <v>15.1</v>
      </c>
      <c r="O114" s="1" t="n">
        <v>5.71</v>
      </c>
      <c r="P114" s="1" t="n">
        <v>2.57</v>
      </c>
      <c r="Q114" s="1" t="n">
        <v>20.71</v>
      </c>
      <c r="R114" s="1" t="n">
        <v>-0.04335</v>
      </c>
      <c r="S114" s="1" t="n">
        <v>0.5</v>
      </c>
      <c r="T114" s="5" t="n">
        <v>2.151E-006</v>
      </c>
      <c r="U114" s="5" t="n">
        <v>0.0002651</v>
      </c>
      <c r="V114" s="1" t="n">
        <v>2.123</v>
      </c>
    </row>
    <row r="115" customFormat="false" ht="12.8" hidden="false" customHeight="false" outlineLevel="0" collapsed="false">
      <c r="A115" s="1" t="n">
        <v>21</v>
      </c>
      <c r="B115" s="4" t="s">
        <v>26</v>
      </c>
      <c r="C115" s="4" t="str">
        <f aca="false">IF(LEFT(E115,2)="S5","Spritz","Standard")</f>
        <v>Standard</v>
      </c>
      <c r="D115" s="4" t="n">
        <f aca="false">IF(RIGHT(E115,2)=".1",1,IF(RIGHT(E115,2)=".2",2,0))</f>
        <v>0</v>
      </c>
      <c r="E115" s="6" t="s">
        <v>27</v>
      </c>
      <c r="F115" s="1" t="s">
        <v>23</v>
      </c>
      <c r="G115" s="1" t="n">
        <v>568.6</v>
      </c>
      <c r="H115" s="1" t="n">
        <v>525.3</v>
      </c>
      <c r="I115" s="1" t="n">
        <v>23</v>
      </c>
      <c r="J115" s="1" t="n">
        <v>1</v>
      </c>
      <c r="K115" s="1" t="n">
        <v>1.00002</v>
      </c>
      <c r="L115" s="1" t="n">
        <v>0.1443</v>
      </c>
      <c r="M115" s="1" t="n">
        <v>14.43</v>
      </c>
      <c r="N115" s="1" t="n">
        <v>13.34</v>
      </c>
      <c r="O115" s="1" t="n">
        <v>5.479</v>
      </c>
      <c r="P115" s="1" t="n">
        <v>2.296</v>
      </c>
      <c r="Q115" s="1" t="n">
        <v>22.32</v>
      </c>
      <c r="R115" s="1" t="n">
        <v>-0.04348</v>
      </c>
      <c r="S115" s="1" t="n">
        <v>0.5</v>
      </c>
      <c r="T115" s="5" t="n">
        <v>2.417E-006</v>
      </c>
      <c r="U115" s="5" t="n">
        <v>0.0003334</v>
      </c>
      <c r="V115" s="1" t="n">
        <v>2.365</v>
      </c>
    </row>
    <row r="116" customFormat="false" ht="12.8" hidden="false" customHeight="false" outlineLevel="0" collapsed="false">
      <c r="A116" s="1" t="n">
        <v>22</v>
      </c>
      <c r="B116" s="4" t="s">
        <v>26</v>
      </c>
      <c r="C116" s="4" t="str">
        <f aca="false">IF(LEFT(E116,2)="S5","Spritz","Standard")</f>
        <v>Standard</v>
      </c>
      <c r="D116" s="4" t="n">
        <f aca="false">IF(RIGHT(E116,2)=".1",1,IF(RIGHT(E116,2)=".2",2,0))</f>
        <v>0</v>
      </c>
      <c r="E116" s="6" t="s">
        <v>27</v>
      </c>
      <c r="F116" s="1" t="s">
        <v>23</v>
      </c>
      <c r="G116" s="1" t="n">
        <v>593.6</v>
      </c>
      <c r="H116" s="1" t="n">
        <v>550.3</v>
      </c>
      <c r="I116" s="1" t="n">
        <v>23</v>
      </c>
      <c r="J116" s="1" t="n">
        <v>1</v>
      </c>
      <c r="K116" s="1" t="n">
        <v>1.26084</v>
      </c>
      <c r="L116" s="1" t="n">
        <v>0.1594</v>
      </c>
      <c r="M116" s="1" t="n">
        <v>12.64</v>
      </c>
      <c r="N116" s="1" t="n">
        <v>11.52</v>
      </c>
      <c r="O116" s="1" t="n">
        <v>5.21</v>
      </c>
      <c r="P116" s="1" t="n">
        <v>2.012</v>
      </c>
      <c r="Q116" s="1" t="n">
        <v>24.34</v>
      </c>
      <c r="R116" s="1" t="n">
        <v>-0.04428</v>
      </c>
      <c r="S116" s="1" t="n">
        <v>0.5</v>
      </c>
      <c r="T116" s="5" t="n">
        <v>2.67E-006</v>
      </c>
      <c r="U116" s="5" t="n">
        <v>0.0004203</v>
      </c>
      <c r="V116" s="1" t="n">
        <v>2.904</v>
      </c>
    </row>
    <row r="117" customFormat="false" ht="12.8" hidden="false" customHeight="false" outlineLevel="0" collapsed="false">
      <c r="A117" s="1" t="n">
        <v>23</v>
      </c>
      <c r="B117" s="4" t="s">
        <v>26</v>
      </c>
      <c r="C117" s="4" t="str">
        <f aca="false">IF(LEFT(E117,2)="S5","Spritz","Standard")</f>
        <v>Standard</v>
      </c>
      <c r="D117" s="4" t="n">
        <f aca="false">IF(RIGHT(E117,2)=".1",1,IF(RIGHT(E117,2)=".2",2,0))</f>
        <v>0</v>
      </c>
      <c r="E117" s="6" t="s">
        <v>27</v>
      </c>
      <c r="F117" s="1" t="s">
        <v>23</v>
      </c>
      <c r="G117" s="1" t="n">
        <v>618.6</v>
      </c>
      <c r="H117" s="1" t="n">
        <v>575.3</v>
      </c>
      <c r="I117" s="1" t="n">
        <v>23</v>
      </c>
      <c r="J117" s="1" t="n">
        <v>1</v>
      </c>
      <c r="K117" s="1" t="n">
        <v>1.58815</v>
      </c>
      <c r="L117" s="1" t="n">
        <v>0.1744</v>
      </c>
      <c r="M117" s="1" t="n">
        <v>10.98</v>
      </c>
      <c r="N117" s="1" t="n">
        <v>9.835</v>
      </c>
      <c r="O117" s="1" t="n">
        <v>4.889</v>
      </c>
      <c r="P117" s="1" t="n">
        <v>1.748</v>
      </c>
      <c r="Q117" s="1" t="n">
        <v>26.43</v>
      </c>
      <c r="R117" s="1" t="n">
        <v>-0.04448</v>
      </c>
      <c r="S117" s="1" t="n">
        <v>0.5</v>
      </c>
      <c r="T117" s="5" t="n">
        <v>2.922E-006</v>
      </c>
      <c r="U117" s="5" t="n">
        <v>0.0005294</v>
      </c>
      <c r="V117" s="1" t="n">
        <v>3.563</v>
      </c>
    </row>
    <row r="118" customFormat="false" ht="12.8" hidden="false" customHeight="false" outlineLevel="0" collapsed="false">
      <c r="A118" s="1" t="n">
        <v>24</v>
      </c>
      <c r="B118" s="4" t="s">
        <v>26</v>
      </c>
      <c r="C118" s="4" t="str">
        <f aca="false">IF(LEFT(E118,2)="S5","Spritz","Standard")</f>
        <v>Standard</v>
      </c>
      <c r="D118" s="4" t="n">
        <f aca="false">IF(RIGHT(E118,2)=".1",1,IF(RIGHT(E118,2)=".2",2,0))</f>
        <v>0</v>
      </c>
      <c r="E118" s="6" t="s">
        <v>27</v>
      </c>
      <c r="F118" s="1" t="s">
        <v>23</v>
      </c>
      <c r="G118" s="1" t="n">
        <v>643.6</v>
      </c>
      <c r="H118" s="1" t="n">
        <v>600.3</v>
      </c>
      <c r="I118" s="1" t="n">
        <v>23</v>
      </c>
      <c r="J118" s="1" t="n">
        <v>1</v>
      </c>
      <c r="K118" s="1" t="n">
        <v>1.99773</v>
      </c>
      <c r="L118" s="1" t="n">
        <v>0.1901</v>
      </c>
      <c r="M118" s="1" t="n">
        <v>9.517</v>
      </c>
      <c r="N118" s="1" t="n">
        <v>8.368</v>
      </c>
      <c r="O118" s="1" t="n">
        <v>4.533</v>
      </c>
      <c r="P118" s="1" t="n">
        <v>1.515</v>
      </c>
      <c r="Q118" s="1" t="n">
        <v>28.45</v>
      </c>
      <c r="R118" s="1" t="n">
        <v>-0.0448</v>
      </c>
      <c r="S118" s="1" t="n">
        <v>0.5</v>
      </c>
      <c r="T118" s="5" t="n">
        <v>3.185E-006</v>
      </c>
      <c r="U118" s="5" t="n">
        <v>0.0006659</v>
      </c>
      <c r="V118" s="1" t="n">
        <v>4.572</v>
      </c>
    </row>
    <row r="119" customFormat="false" ht="12.8" hidden="false" customHeight="false" outlineLevel="0" collapsed="false">
      <c r="A119" s="1" t="n">
        <v>25</v>
      </c>
      <c r="B119" s="4" t="s">
        <v>26</v>
      </c>
      <c r="C119" s="4" t="str">
        <f aca="false">IF(LEFT(E119,2)="S5","Spritz","Standard")</f>
        <v>Standard</v>
      </c>
      <c r="D119" s="4" t="n">
        <f aca="false">IF(RIGHT(E119,2)=".1",1,IF(RIGHT(E119,2)=".2",2,0))</f>
        <v>0</v>
      </c>
      <c r="E119" s="6" t="s">
        <v>27</v>
      </c>
      <c r="F119" s="1" t="s">
        <v>23</v>
      </c>
      <c r="G119" s="1" t="n">
        <v>668.6</v>
      </c>
      <c r="H119" s="1" t="n">
        <v>625.3</v>
      </c>
      <c r="I119" s="1" t="n">
        <v>23</v>
      </c>
      <c r="J119" s="1" t="n">
        <v>1</v>
      </c>
      <c r="K119" s="1" t="n">
        <v>2.5096</v>
      </c>
      <c r="L119" s="1" t="n">
        <v>0.2095</v>
      </c>
      <c r="M119" s="1" t="n">
        <v>8.346</v>
      </c>
      <c r="N119" s="1" t="n">
        <v>7.186</v>
      </c>
      <c r="O119" s="1" t="n">
        <v>4.245</v>
      </c>
      <c r="P119" s="1" t="n">
        <v>1.328</v>
      </c>
      <c r="Q119" s="1" t="n">
        <v>30.57</v>
      </c>
      <c r="R119" s="1" t="n">
        <v>-0.04522</v>
      </c>
      <c r="S119" s="1" t="n">
        <v>0.5</v>
      </c>
      <c r="T119" s="5" t="n">
        <v>3.509E-006</v>
      </c>
      <c r="U119" s="5" t="n">
        <v>0.0008366</v>
      </c>
      <c r="V119" s="1" t="n">
        <v>5.411</v>
      </c>
    </row>
    <row r="120" customFormat="false" ht="12.8" hidden="false" customHeight="false" outlineLevel="0" collapsed="false">
      <c r="A120" s="1" t="n">
        <v>26</v>
      </c>
      <c r="B120" s="4" t="s">
        <v>26</v>
      </c>
      <c r="C120" s="4" t="str">
        <f aca="false">IF(LEFT(E120,2)="S5","Spritz","Standard")</f>
        <v>Standard</v>
      </c>
      <c r="D120" s="4" t="n">
        <f aca="false">IF(RIGHT(E120,2)=".1",1,IF(RIGHT(E120,2)=".2",2,0))</f>
        <v>0</v>
      </c>
      <c r="E120" s="6" t="s">
        <v>27</v>
      </c>
      <c r="F120" s="1" t="s">
        <v>23</v>
      </c>
      <c r="G120" s="1" t="n">
        <v>693.6</v>
      </c>
      <c r="H120" s="1" t="n">
        <v>650.3</v>
      </c>
      <c r="I120" s="1" t="n">
        <v>23</v>
      </c>
      <c r="J120" s="1" t="n">
        <v>1</v>
      </c>
      <c r="K120" s="1" t="n">
        <v>3.16341</v>
      </c>
      <c r="L120" s="1" t="n">
        <v>0.2314</v>
      </c>
      <c r="M120" s="1" t="n">
        <v>7.315</v>
      </c>
      <c r="N120" s="1" t="n">
        <v>6.159</v>
      </c>
      <c r="O120" s="1" t="n">
        <v>3.946</v>
      </c>
      <c r="P120" s="1" t="n">
        <v>1.164</v>
      </c>
      <c r="Q120" s="1" t="n">
        <v>32.64</v>
      </c>
      <c r="R120" s="1" t="n">
        <v>-0.04578</v>
      </c>
      <c r="S120" s="1" t="n">
        <v>0.5</v>
      </c>
      <c r="T120" s="5" t="n">
        <v>3.876E-006</v>
      </c>
      <c r="U120" s="5" t="n">
        <v>0.001055</v>
      </c>
      <c r="V120" s="1" t="n">
        <v>5.855</v>
      </c>
    </row>
    <row r="121" customFormat="false" ht="12.8" hidden="false" customHeight="false" outlineLevel="0" collapsed="false">
      <c r="A121" s="1" t="n">
        <v>27</v>
      </c>
      <c r="B121" s="4" t="s">
        <v>26</v>
      </c>
      <c r="C121" s="4" t="str">
        <f aca="false">IF(LEFT(E121,2)="S5","Spritz","Standard")</f>
        <v>Standard</v>
      </c>
      <c r="D121" s="4" t="n">
        <f aca="false">IF(RIGHT(E121,2)=".1",1,IF(RIGHT(E121,2)=".2",2,0))</f>
        <v>0</v>
      </c>
      <c r="E121" s="6" t="s">
        <v>27</v>
      </c>
      <c r="F121" s="1" t="s">
        <v>23</v>
      </c>
      <c r="G121" s="1" t="n">
        <v>718.7</v>
      </c>
      <c r="H121" s="1" t="n">
        <v>675.4</v>
      </c>
      <c r="I121" s="1" t="n">
        <v>23</v>
      </c>
      <c r="J121" s="1" t="n">
        <v>1</v>
      </c>
      <c r="K121" s="1" t="n">
        <v>3.98464</v>
      </c>
      <c r="L121" s="1" t="n">
        <v>0.251</v>
      </c>
      <c r="M121" s="1" t="n">
        <v>6.298</v>
      </c>
      <c r="N121" s="1" t="n">
        <v>5.105</v>
      </c>
      <c r="O121" s="1" t="n">
        <v>3.689</v>
      </c>
      <c r="P121" s="1" t="n">
        <v>1.002</v>
      </c>
      <c r="Q121" s="1" t="n">
        <v>35.85</v>
      </c>
      <c r="R121" s="1" t="n">
        <v>-0.04709</v>
      </c>
      <c r="S121" s="1" t="n">
        <v>0.5</v>
      </c>
      <c r="T121" s="5" t="n">
        <v>4.204E-006</v>
      </c>
      <c r="U121" s="5" t="n">
        <v>0.001328</v>
      </c>
      <c r="V121" s="1" t="n">
        <v>7.517</v>
      </c>
    </row>
    <row r="122" customFormat="false" ht="12.8" hidden="false" customHeight="false" outlineLevel="0" collapsed="false">
      <c r="A122" s="1" t="n">
        <v>28</v>
      </c>
      <c r="B122" s="4" t="s">
        <v>26</v>
      </c>
      <c r="C122" s="4" t="str">
        <f aca="false">IF(LEFT(E122,2)="S5","Spritz","Standard")</f>
        <v>Standard</v>
      </c>
      <c r="D122" s="4" t="n">
        <f aca="false">IF(RIGHT(E122,2)=".1",1,IF(RIGHT(E122,2)=".2",2,0))</f>
        <v>0</v>
      </c>
      <c r="E122" s="6" t="s">
        <v>27</v>
      </c>
      <c r="F122" s="1" t="s">
        <v>23</v>
      </c>
      <c r="G122" s="1" t="n">
        <v>743.7</v>
      </c>
      <c r="H122" s="1" t="n">
        <v>700.4</v>
      </c>
      <c r="I122" s="1" t="n">
        <v>23</v>
      </c>
      <c r="J122" s="1" t="n">
        <v>1</v>
      </c>
      <c r="K122" s="1" t="n">
        <v>5.02266</v>
      </c>
      <c r="L122" s="1" t="n">
        <v>0.2701</v>
      </c>
      <c r="M122" s="1" t="n">
        <v>5.377</v>
      </c>
      <c r="N122" s="1" t="n">
        <v>4.223</v>
      </c>
      <c r="O122" s="1" t="n">
        <v>3.329</v>
      </c>
      <c r="P122" s="1" t="n">
        <v>0.8557</v>
      </c>
      <c r="Q122" s="1" t="n">
        <v>38.25</v>
      </c>
      <c r="R122" s="1" t="n">
        <v>-0.04719</v>
      </c>
      <c r="S122" s="1" t="n">
        <v>0.5</v>
      </c>
      <c r="T122" s="5" t="n">
        <v>4.524E-006</v>
      </c>
      <c r="U122" s="5" t="n">
        <v>0.001674</v>
      </c>
      <c r="V122" s="1" t="n">
        <v>8.54</v>
      </c>
    </row>
    <row r="123" customFormat="false" ht="12.8" hidden="false" customHeight="false" outlineLevel="0" collapsed="false">
      <c r="A123" s="1" t="n">
        <v>29</v>
      </c>
      <c r="B123" s="4" t="s">
        <v>26</v>
      </c>
      <c r="C123" s="4" t="str">
        <f aca="false">IF(LEFT(E123,2)="S5","Spritz","Standard")</f>
        <v>Standard</v>
      </c>
      <c r="D123" s="4" t="n">
        <f aca="false">IF(RIGHT(E123,2)=".1",1,IF(RIGHT(E123,2)=".2",2,0))</f>
        <v>0</v>
      </c>
      <c r="E123" s="6" t="s">
        <v>27</v>
      </c>
      <c r="F123" s="1" t="s">
        <v>23</v>
      </c>
      <c r="G123" s="1" t="n">
        <v>768.7</v>
      </c>
      <c r="H123" s="1" t="n">
        <v>725.4</v>
      </c>
      <c r="I123" s="1" t="n">
        <v>23</v>
      </c>
      <c r="J123" s="1" t="n">
        <v>1</v>
      </c>
      <c r="K123" s="1" t="n">
        <v>6.31112</v>
      </c>
      <c r="L123" s="1" t="n">
        <v>0.2882</v>
      </c>
      <c r="M123" s="1" t="n">
        <v>4.566</v>
      </c>
      <c r="N123" s="1" t="n">
        <v>3.465</v>
      </c>
      <c r="O123" s="1" t="n">
        <v>2.974</v>
      </c>
      <c r="P123" s="1" t="n">
        <v>0.7267</v>
      </c>
      <c r="Q123" s="1" t="n">
        <v>40.64</v>
      </c>
      <c r="R123" s="1" t="n">
        <v>-0.04743</v>
      </c>
      <c r="S123" s="1" t="n">
        <v>0.5</v>
      </c>
      <c r="T123" s="5" t="n">
        <v>4.828E-006</v>
      </c>
      <c r="U123" s="5" t="n">
        <v>0.002104</v>
      </c>
      <c r="V123" s="1" t="n">
        <v>9.987</v>
      </c>
    </row>
    <row r="124" customFormat="false" ht="12.8" hidden="false" customHeight="false" outlineLevel="0" collapsed="false">
      <c r="A124" s="1" t="n">
        <v>30</v>
      </c>
      <c r="B124" s="4" t="s">
        <v>26</v>
      </c>
      <c r="C124" s="4" t="str">
        <f aca="false">IF(LEFT(E124,2)="S5","Spritz","Standard")</f>
        <v>Standard</v>
      </c>
      <c r="D124" s="4" t="n">
        <f aca="false">IF(RIGHT(E124,2)=".1",1,IF(RIGHT(E124,2)=".2",2,0))</f>
        <v>0</v>
      </c>
      <c r="E124" s="6" t="s">
        <v>27</v>
      </c>
      <c r="F124" s="1" t="s">
        <v>23</v>
      </c>
      <c r="G124" s="1" t="n">
        <v>793.7</v>
      </c>
      <c r="H124" s="1" t="n">
        <v>750.4</v>
      </c>
      <c r="I124" s="1" t="n">
        <v>23</v>
      </c>
      <c r="J124" s="1" t="n">
        <v>1</v>
      </c>
      <c r="K124" s="1" t="n">
        <v>7.94761</v>
      </c>
      <c r="L124" s="1" t="n">
        <v>0.3035</v>
      </c>
      <c r="M124" s="1" t="n">
        <v>3.819</v>
      </c>
      <c r="N124" s="1" t="n">
        <v>2.814</v>
      </c>
      <c r="O124" s="1" t="n">
        <v>2.582</v>
      </c>
      <c r="P124" s="1" t="n">
        <v>0.6078</v>
      </c>
      <c r="Q124" s="1" t="n">
        <v>42.54</v>
      </c>
      <c r="R124" s="1" t="n">
        <v>-0.04709</v>
      </c>
      <c r="S124" s="1" t="n">
        <v>0.5</v>
      </c>
      <c r="T124" s="5" t="n">
        <v>5.085E-006</v>
      </c>
      <c r="U124" s="5" t="n">
        <v>0.002649</v>
      </c>
      <c r="V124" s="1" t="n">
        <v>12.09</v>
      </c>
    </row>
    <row r="125" customFormat="false" ht="12.8" hidden="false" customHeight="false" outlineLevel="0" collapsed="false">
      <c r="A125" s="1" t="n">
        <v>31</v>
      </c>
      <c r="B125" s="4" t="s">
        <v>26</v>
      </c>
      <c r="C125" s="4" t="str">
        <f aca="false">IF(LEFT(E125,2)="S5","Spritz","Standard")</f>
        <v>Standard</v>
      </c>
      <c r="D125" s="4" t="n">
        <f aca="false">IF(RIGHT(E125,2)=".1",1,IF(RIGHT(E125,2)=".2",2,0))</f>
        <v>0</v>
      </c>
      <c r="E125" s="6" t="s">
        <v>27</v>
      </c>
      <c r="F125" s="1" t="s">
        <v>23</v>
      </c>
      <c r="G125" s="1" t="n">
        <v>818.7</v>
      </c>
      <c r="H125" s="1" t="n">
        <v>775.4</v>
      </c>
      <c r="I125" s="1" t="n">
        <v>23</v>
      </c>
      <c r="J125" s="1" t="n">
        <v>1</v>
      </c>
      <c r="K125" s="1" t="n">
        <v>10.023</v>
      </c>
      <c r="L125" s="1" t="n">
        <v>0.3148</v>
      </c>
      <c r="M125" s="1" t="n">
        <v>3.141</v>
      </c>
      <c r="N125" s="1" t="n">
        <v>2.264</v>
      </c>
      <c r="O125" s="1" t="n">
        <v>2.177</v>
      </c>
      <c r="P125" s="1" t="n">
        <v>0.4999</v>
      </c>
      <c r="Q125" s="1" t="n">
        <v>43.88</v>
      </c>
      <c r="R125" s="1" t="n">
        <v>-0.04711</v>
      </c>
      <c r="S125" s="1" t="n">
        <v>0.5</v>
      </c>
      <c r="T125" s="5" t="n">
        <v>5.274E-006</v>
      </c>
      <c r="U125" s="5" t="n">
        <v>0.003341</v>
      </c>
      <c r="V125" s="1" t="n">
        <v>13.55</v>
      </c>
    </row>
    <row r="126" customFormat="false" ht="12.8" hidden="false" customHeight="false" outlineLevel="0" collapsed="false">
      <c r="A126" s="1" t="n">
        <v>1</v>
      </c>
      <c r="B126" s="4" t="s">
        <v>26</v>
      </c>
      <c r="C126" s="4" t="str">
        <f aca="false">IF(LEFT(E126,2)="S5","Spritz","Standard")</f>
        <v>Standard</v>
      </c>
      <c r="D126" s="4" t="n">
        <v>1</v>
      </c>
      <c r="E126" s="6" t="s">
        <v>28</v>
      </c>
      <c r="F126" s="1" t="s">
        <v>23</v>
      </c>
      <c r="G126" s="1" t="n">
        <v>38.09</v>
      </c>
      <c r="H126" s="1" t="n">
        <v>25</v>
      </c>
      <c r="I126" s="1" t="n">
        <v>23.09</v>
      </c>
      <c r="J126" s="1" t="n">
        <v>1</v>
      </c>
      <c r="K126" s="1" t="n">
        <v>0.0104601</v>
      </c>
      <c r="L126" s="5" t="n">
        <v>0.00119</v>
      </c>
      <c r="M126" s="1" t="n">
        <v>11.38</v>
      </c>
      <c r="N126" s="1" t="n">
        <v>10.09</v>
      </c>
      <c r="O126" s="1" t="n">
        <v>5.256</v>
      </c>
      <c r="P126" s="1" t="n">
        <v>1.811</v>
      </c>
      <c r="Q126" s="1" t="n">
        <v>27.51</v>
      </c>
      <c r="R126" s="1" t="n">
        <v>-0.1269</v>
      </c>
      <c r="S126" s="1" t="n">
        <v>0.5</v>
      </c>
      <c r="T126" s="5" t="n">
        <v>1.994E-008</v>
      </c>
      <c r="U126" s="5" t="n">
        <v>3.487E-006</v>
      </c>
      <c r="V126" s="1" t="n">
        <v>11.54</v>
      </c>
    </row>
    <row r="127" customFormat="false" ht="12.8" hidden="false" customHeight="false" outlineLevel="0" collapsed="false">
      <c r="A127" s="1" t="n">
        <v>2</v>
      </c>
      <c r="B127" s="4" t="s">
        <v>26</v>
      </c>
      <c r="C127" s="4" t="str">
        <f aca="false">IF(LEFT(E127,2)="S5","Spritz","Standard")</f>
        <v>Standard</v>
      </c>
      <c r="D127" s="4" t="n">
        <v>1</v>
      </c>
      <c r="E127" s="6" t="s">
        <v>28</v>
      </c>
      <c r="F127" s="1" t="s">
        <v>23</v>
      </c>
      <c r="G127" s="1" t="n">
        <v>63.11</v>
      </c>
      <c r="H127" s="1" t="n">
        <v>50.02</v>
      </c>
      <c r="I127" s="1" t="n">
        <v>23.05</v>
      </c>
      <c r="J127" s="1" t="n">
        <v>1</v>
      </c>
      <c r="K127" s="1" t="n">
        <v>0.0130169</v>
      </c>
      <c r="L127" s="5" t="n">
        <v>0.001502</v>
      </c>
      <c r="M127" s="1" t="n">
        <v>11.54</v>
      </c>
      <c r="N127" s="1" t="n">
        <v>10.6</v>
      </c>
      <c r="O127" s="1" t="n">
        <v>4.57</v>
      </c>
      <c r="P127" s="1" t="n">
        <v>1.836</v>
      </c>
      <c r="Q127" s="1" t="n">
        <v>23.33</v>
      </c>
      <c r="R127" s="1" t="n">
        <v>-0.1313</v>
      </c>
      <c r="S127" s="1" t="n">
        <v>0.5</v>
      </c>
      <c r="T127" s="5" t="n">
        <v>2.516E-008</v>
      </c>
      <c r="U127" s="5" t="n">
        <v>4.339E-006</v>
      </c>
      <c r="V127" s="1" t="n">
        <v>8.073</v>
      </c>
    </row>
    <row r="128" customFormat="false" ht="12.8" hidden="false" customHeight="false" outlineLevel="0" collapsed="false">
      <c r="A128" s="1" t="n">
        <v>3</v>
      </c>
      <c r="B128" s="4" t="s">
        <v>26</v>
      </c>
      <c r="C128" s="4" t="str">
        <f aca="false">IF(LEFT(E128,2)="S5","Spritz","Standard")</f>
        <v>Standard</v>
      </c>
      <c r="D128" s="4" t="n">
        <v>1</v>
      </c>
      <c r="E128" s="6" t="s">
        <v>28</v>
      </c>
      <c r="F128" s="1" t="s">
        <v>23</v>
      </c>
      <c r="G128" s="1" t="n">
        <v>88.12</v>
      </c>
      <c r="H128" s="1" t="n">
        <v>75.03</v>
      </c>
      <c r="I128" s="1" t="n">
        <v>23.04</v>
      </c>
      <c r="J128" s="1" t="n">
        <v>1</v>
      </c>
      <c r="K128" s="1" t="n">
        <v>0.0156339</v>
      </c>
      <c r="L128" s="5" t="n">
        <v>0.001756</v>
      </c>
      <c r="M128" s="1" t="n">
        <v>11.23</v>
      </c>
      <c r="N128" s="1" t="n">
        <v>10.47</v>
      </c>
      <c r="O128" s="1" t="n">
        <v>4.068</v>
      </c>
      <c r="P128" s="1" t="n">
        <v>1.787</v>
      </c>
      <c r="Q128" s="1" t="n">
        <v>21.24</v>
      </c>
      <c r="R128" s="1" t="n">
        <v>-0.133</v>
      </c>
      <c r="S128" s="1" t="n">
        <v>0.5</v>
      </c>
      <c r="T128" s="5" t="n">
        <v>2.942E-008</v>
      </c>
      <c r="U128" s="5" t="n">
        <v>5.212E-006</v>
      </c>
      <c r="V128" s="1" t="n">
        <v>8.657</v>
      </c>
    </row>
    <row r="129" customFormat="false" ht="12.8" hidden="false" customHeight="false" outlineLevel="0" collapsed="false">
      <c r="A129" s="1" t="n">
        <v>4</v>
      </c>
      <c r="B129" s="4" t="s">
        <v>26</v>
      </c>
      <c r="C129" s="4" t="str">
        <f aca="false">IF(LEFT(E129,2)="S5","Spritz","Standard")</f>
        <v>Standard</v>
      </c>
      <c r="D129" s="4" t="n">
        <v>1</v>
      </c>
      <c r="E129" s="6" t="s">
        <v>28</v>
      </c>
      <c r="F129" s="1" t="s">
        <v>23</v>
      </c>
      <c r="G129" s="1" t="n">
        <v>113.1</v>
      </c>
      <c r="H129" s="1" t="n">
        <v>100</v>
      </c>
      <c r="I129" s="1" t="n">
        <v>23.03</v>
      </c>
      <c r="J129" s="1" t="n">
        <v>1</v>
      </c>
      <c r="K129" s="1" t="n">
        <v>0.0196089</v>
      </c>
      <c r="L129" s="5" t="n">
        <v>0.00218</v>
      </c>
      <c r="M129" s="1" t="n">
        <v>11.12</v>
      </c>
      <c r="N129" s="1" t="n">
        <v>10.55</v>
      </c>
      <c r="O129" s="1" t="n">
        <v>3.516</v>
      </c>
      <c r="P129" s="1" t="n">
        <v>1.77</v>
      </c>
      <c r="Q129" s="1" t="n">
        <v>18.43</v>
      </c>
      <c r="R129" s="1" t="n">
        <v>-0.1353</v>
      </c>
      <c r="S129" s="1" t="n">
        <v>0.5</v>
      </c>
      <c r="T129" s="5" t="n">
        <v>3.652E-008</v>
      </c>
      <c r="U129" s="5" t="n">
        <v>6.537E-006</v>
      </c>
      <c r="V129" s="1" t="n">
        <v>7.005</v>
      </c>
    </row>
    <row r="130" customFormat="false" ht="12.8" hidden="false" customHeight="false" outlineLevel="0" collapsed="false">
      <c r="A130" s="1" t="n">
        <v>5</v>
      </c>
      <c r="B130" s="4" t="s">
        <v>26</v>
      </c>
      <c r="C130" s="4" t="str">
        <f aca="false">IF(LEFT(E130,2)="S5","Spritz","Standard")</f>
        <v>Standard</v>
      </c>
      <c r="D130" s="4" t="n">
        <v>1</v>
      </c>
      <c r="E130" s="6" t="s">
        <v>28</v>
      </c>
      <c r="F130" s="1" t="s">
        <v>23</v>
      </c>
      <c r="G130" s="1" t="n">
        <v>138.2</v>
      </c>
      <c r="H130" s="1" t="n">
        <v>125.1</v>
      </c>
      <c r="I130" s="1" t="n">
        <v>23.02</v>
      </c>
      <c r="J130" s="1" t="n">
        <v>1</v>
      </c>
      <c r="K130" s="1" t="n">
        <v>0.0259697</v>
      </c>
      <c r="L130" s="5" t="n">
        <v>0.002832</v>
      </c>
      <c r="M130" s="1" t="n">
        <v>10.91</v>
      </c>
      <c r="N130" s="1" t="n">
        <v>10.47</v>
      </c>
      <c r="O130" s="1" t="n">
        <v>3.045</v>
      </c>
      <c r="P130" s="1" t="n">
        <v>1.736</v>
      </c>
      <c r="Q130" s="1" t="n">
        <v>16.21</v>
      </c>
      <c r="R130" s="1" t="n">
        <v>-0.1376</v>
      </c>
      <c r="S130" s="1" t="n">
        <v>0.5</v>
      </c>
      <c r="T130" s="5" t="n">
        <v>4.745E-008</v>
      </c>
      <c r="U130" s="5" t="n">
        <v>8.657E-006</v>
      </c>
      <c r="V130" s="1" t="n">
        <v>5.444</v>
      </c>
    </row>
    <row r="131" customFormat="false" ht="12.8" hidden="false" customHeight="false" outlineLevel="0" collapsed="false">
      <c r="A131" s="1" t="n">
        <v>6</v>
      </c>
      <c r="B131" s="4" t="s">
        <v>26</v>
      </c>
      <c r="C131" s="4" t="str">
        <f aca="false">IF(LEFT(E131,2)="S5","Spritz","Standard")</f>
        <v>Standard</v>
      </c>
      <c r="D131" s="4" t="n">
        <v>1</v>
      </c>
      <c r="E131" s="6" t="s">
        <v>28</v>
      </c>
      <c r="F131" s="1" t="s">
        <v>23</v>
      </c>
      <c r="G131" s="1" t="n">
        <v>163.2</v>
      </c>
      <c r="H131" s="1" t="n">
        <v>150.1</v>
      </c>
      <c r="I131" s="1" t="n">
        <v>23.02</v>
      </c>
      <c r="J131" s="1" t="n">
        <v>1</v>
      </c>
      <c r="K131" s="1" t="n">
        <v>0.0309437</v>
      </c>
      <c r="L131" s="5" t="n">
        <v>0.003289</v>
      </c>
      <c r="M131" s="1" t="n">
        <v>10.63</v>
      </c>
      <c r="N131" s="1" t="n">
        <v>10.18</v>
      </c>
      <c r="O131" s="1" t="n">
        <v>3.055</v>
      </c>
      <c r="P131" s="1" t="n">
        <v>1.692</v>
      </c>
      <c r="Q131" s="1" t="n">
        <v>16.7</v>
      </c>
      <c r="R131" s="1" t="n">
        <v>-0.1392</v>
      </c>
      <c r="S131" s="1" t="n">
        <v>0.5</v>
      </c>
      <c r="T131" s="5" t="n">
        <v>5.51E-008</v>
      </c>
      <c r="U131" s="5" t="n">
        <v>1.032E-005</v>
      </c>
      <c r="V131" s="1" t="n">
        <v>7.094</v>
      </c>
    </row>
    <row r="132" customFormat="false" ht="12.8" hidden="false" customHeight="false" outlineLevel="0" collapsed="false">
      <c r="A132" s="1" t="n">
        <v>7</v>
      </c>
      <c r="B132" s="4" t="s">
        <v>26</v>
      </c>
      <c r="C132" s="4" t="str">
        <f aca="false">IF(LEFT(E132,2)="S5","Spritz","Standard")</f>
        <v>Standard</v>
      </c>
      <c r="D132" s="4" t="n">
        <v>1</v>
      </c>
      <c r="E132" s="6" t="s">
        <v>28</v>
      </c>
      <c r="F132" s="1" t="s">
        <v>23</v>
      </c>
      <c r="G132" s="1" t="n">
        <v>188.2</v>
      </c>
      <c r="H132" s="1" t="n">
        <v>175.1</v>
      </c>
      <c r="I132" s="1" t="n">
        <v>23.01</v>
      </c>
      <c r="J132" s="1" t="n">
        <v>1</v>
      </c>
      <c r="K132" s="1" t="n">
        <v>0.0405046</v>
      </c>
      <c r="L132" s="5" t="n">
        <v>0.00421</v>
      </c>
      <c r="M132" s="1" t="n">
        <v>10.39</v>
      </c>
      <c r="N132" s="1" t="n">
        <v>9.975</v>
      </c>
      <c r="O132" s="1" t="n">
        <v>2.923</v>
      </c>
      <c r="P132" s="1" t="n">
        <v>1.654</v>
      </c>
      <c r="Q132" s="1" t="n">
        <v>16.33</v>
      </c>
      <c r="R132" s="1" t="n">
        <v>-0.1396</v>
      </c>
      <c r="S132" s="1" t="n">
        <v>0.5</v>
      </c>
      <c r="T132" s="5" t="n">
        <v>7.053E-008</v>
      </c>
      <c r="U132" s="5" t="n">
        <v>1.35E-005</v>
      </c>
      <c r="V132" s="1" t="n">
        <v>6.078</v>
      </c>
    </row>
    <row r="133" customFormat="false" ht="12.8" hidden="false" customHeight="false" outlineLevel="0" collapsed="false">
      <c r="A133" s="1" t="n">
        <v>8</v>
      </c>
      <c r="B133" s="4" t="s">
        <v>26</v>
      </c>
      <c r="C133" s="4" t="str">
        <f aca="false">IF(LEFT(E133,2)="S5","Spritz","Standard")</f>
        <v>Standard</v>
      </c>
      <c r="D133" s="4" t="n">
        <v>1</v>
      </c>
      <c r="E133" s="6" t="s">
        <v>28</v>
      </c>
      <c r="F133" s="1" t="s">
        <v>23</v>
      </c>
      <c r="G133" s="1" t="n">
        <v>213.3</v>
      </c>
      <c r="H133" s="1" t="n">
        <v>200.2</v>
      </c>
      <c r="I133" s="1" t="n">
        <v>23</v>
      </c>
      <c r="J133" s="1" t="n">
        <v>1</v>
      </c>
      <c r="K133" s="1" t="n">
        <v>0.0501536</v>
      </c>
      <c r="L133" s="5" t="n">
        <v>0.005097</v>
      </c>
      <c r="M133" s="1" t="n">
        <v>10.16</v>
      </c>
      <c r="N133" s="1" t="n">
        <v>9.828</v>
      </c>
      <c r="O133" s="1" t="n">
        <v>2.583</v>
      </c>
      <c r="P133" s="1" t="n">
        <v>1.617</v>
      </c>
      <c r="Q133" s="1" t="n">
        <v>14.73</v>
      </c>
      <c r="R133" s="1" t="n">
        <v>-0.1407</v>
      </c>
      <c r="S133" s="1" t="n">
        <v>0.5</v>
      </c>
      <c r="T133" s="5" t="n">
        <v>8.538E-008</v>
      </c>
      <c r="U133" s="5" t="n">
        <v>1.672E-005</v>
      </c>
      <c r="V133" s="1" t="n">
        <v>8.029</v>
      </c>
    </row>
    <row r="134" customFormat="false" ht="12.8" hidden="false" customHeight="false" outlineLevel="0" collapsed="false">
      <c r="A134" s="1" t="n">
        <v>9</v>
      </c>
      <c r="B134" s="4" t="s">
        <v>26</v>
      </c>
      <c r="C134" s="4" t="str">
        <f aca="false">IF(LEFT(E134,2)="S5","Spritz","Standard")</f>
        <v>Standard</v>
      </c>
      <c r="D134" s="4" t="n">
        <v>1</v>
      </c>
      <c r="E134" s="6" t="s">
        <v>28</v>
      </c>
      <c r="F134" s="1" t="s">
        <v>23</v>
      </c>
      <c r="G134" s="1" t="n">
        <v>238.3</v>
      </c>
      <c r="H134" s="1" t="n">
        <v>225.2</v>
      </c>
      <c r="I134" s="1" t="n">
        <v>23</v>
      </c>
      <c r="J134" s="1" t="n">
        <v>1</v>
      </c>
      <c r="K134" s="1" t="n">
        <v>0.0627879</v>
      </c>
      <c r="L134" s="5" t="n">
        <v>0.006265</v>
      </c>
      <c r="M134" s="1" t="n">
        <v>9.979</v>
      </c>
      <c r="N134" s="1" t="n">
        <v>9.668</v>
      </c>
      <c r="O134" s="1" t="n">
        <v>2.468</v>
      </c>
      <c r="P134" s="1" t="n">
        <v>1.588</v>
      </c>
      <c r="Q134" s="1" t="n">
        <v>14.32</v>
      </c>
      <c r="R134" s="1" t="n">
        <v>-0.1412</v>
      </c>
      <c r="S134" s="1" t="n">
        <v>0.5</v>
      </c>
      <c r="T134" s="5" t="n">
        <v>1.05E-007</v>
      </c>
      <c r="U134" s="5" t="n">
        <v>2.093E-005</v>
      </c>
      <c r="V134" s="1" t="n">
        <v>8.741</v>
      </c>
    </row>
    <row r="135" customFormat="false" ht="12.8" hidden="false" customHeight="false" outlineLevel="0" collapsed="false">
      <c r="A135" s="1" t="n">
        <v>10</v>
      </c>
      <c r="B135" s="4" t="s">
        <v>26</v>
      </c>
      <c r="C135" s="4" t="str">
        <f aca="false">IF(LEFT(E135,2)="S5","Spritz","Standard")</f>
        <v>Standard</v>
      </c>
      <c r="D135" s="4" t="n">
        <v>1</v>
      </c>
      <c r="E135" s="6" t="s">
        <v>28</v>
      </c>
      <c r="F135" s="1" t="s">
        <v>23</v>
      </c>
      <c r="G135" s="1" t="n">
        <v>263.3</v>
      </c>
      <c r="H135" s="1" t="n">
        <v>250.2</v>
      </c>
      <c r="I135" s="1" t="n">
        <v>22.99</v>
      </c>
      <c r="J135" s="1" t="n">
        <v>1</v>
      </c>
      <c r="K135" s="1" t="n">
        <v>0.080231</v>
      </c>
      <c r="L135" s="5" t="n">
        <v>0.007837</v>
      </c>
      <c r="M135" s="1" t="n">
        <v>9.768</v>
      </c>
      <c r="N135" s="1" t="n">
        <v>9.479</v>
      </c>
      <c r="O135" s="1" t="n">
        <v>2.357</v>
      </c>
      <c r="P135" s="1" t="n">
        <v>1.555</v>
      </c>
      <c r="Q135" s="1" t="n">
        <v>13.96</v>
      </c>
      <c r="R135" s="1" t="n">
        <v>-0.1426</v>
      </c>
      <c r="S135" s="1" t="n">
        <v>0.5</v>
      </c>
      <c r="T135" s="5" t="n">
        <v>1.313E-007</v>
      </c>
      <c r="U135" s="5" t="n">
        <v>2.674E-005</v>
      </c>
      <c r="V135" s="1" t="n">
        <v>6.123</v>
      </c>
    </row>
    <row r="136" customFormat="false" ht="12.8" hidden="false" customHeight="false" outlineLevel="0" collapsed="false">
      <c r="A136" s="1" t="n">
        <v>11</v>
      </c>
      <c r="B136" s="4" t="s">
        <v>26</v>
      </c>
      <c r="C136" s="4" t="str">
        <f aca="false">IF(LEFT(E136,2)="S5","Spritz","Standard")</f>
        <v>Standard</v>
      </c>
      <c r="D136" s="4" t="n">
        <v>1</v>
      </c>
      <c r="E136" s="6" t="s">
        <v>28</v>
      </c>
      <c r="F136" s="1" t="s">
        <v>23</v>
      </c>
      <c r="G136" s="1" t="n">
        <v>288.3</v>
      </c>
      <c r="H136" s="1" t="n">
        <v>275.2</v>
      </c>
      <c r="I136" s="1" t="n">
        <v>22.99</v>
      </c>
      <c r="J136" s="1" t="n">
        <v>1</v>
      </c>
      <c r="K136" s="1" t="n">
        <v>0.0990715</v>
      </c>
      <c r="L136" s="5" t="n">
        <v>0.00947</v>
      </c>
      <c r="M136" s="1" t="n">
        <v>9.558</v>
      </c>
      <c r="N136" s="1" t="n">
        <v>9.281</v>
      </c>
      <c r="O136" s="1" t="n">
        <v>2.286</v>
      </c>
      <c r="P136" s="1" t="n">
        <v>1.521</v>
      </c>
      <c r="Q136" s="1" t="n">
        <v>13.83</v>
      </c>
      <c r="R136" s="1" t="n">
        <v>-0.1425</v>
      </c>
      <c r="S136" s="1" t="n">
        <v>0.5</v>
      </c>
      <c r="T136" s="5" t="n">
        <v>1.586E-007</v>
      </c>
      <c r="U136" s="5" t="n">
        <v>3.303E-005</v>
      </c>
      <c r="V136" s="1" t="n">
        <v>4.646</v>
      </c>
    </row>
    <row r="137" customFormat="false" ht="12.8" hidden="false" customHeight="false" outlineLevel="0" collapsed="false">
      <c r="A137" s="1" t="n">
        <v>12</v>
      </c>
      <c r="B137" s="4" t="s">
        <v>26</v>
      </c>
      <c r="C137" s="4" t="str">
        <f aca="false">IF(LEFT(E137,2)="S5","Spritz","Standard")</f>
        <v>Standard</v>
      </c>
      <c r="D137" s="4" t="n">
        <v>1</v>
      </c>
      <c r="E137" s="6" t="s">
        <v>28</v>
      </c>
      <c r="F137" s="1" t="s">
        <v>23</v>
      </c>
      <c r="G137" s="1" t="n">
        <v>313.3</v>
      </c>
      <c r="H137" s="1" t="n">
        <v>300.2</v>
      </c>
      <c r="I137" s="1" t="n">
        <v>22.99</v>
      </c>
      <c r="J137" s="1" t="n">
        <v>1</v>
      </c>
      <c r="K137" s="1" t="n">
        <v>0.125599</v>
      </c>
      <c r="L137" s="1" t="n">
        <v>0.0117</v>
      </c>
      <c r="M137" s="1" t="n">
        <v>9.318</v>
      </c>
      <c r="N137" s="1" t="n">
        <v>9.047</v>
      </c>
      <c r="O137" s="1" t="n">
        <v>2.231</v>
      </c>
      <c r="P137" s="1" t="n">
        <v>1.483</v>
      </c>
      <c r="Q137" s="1" t="n">
        <v>13.85</v>
      </c>
      <c r="R137" s="1" t="n">
        <v>-0.1417</v>
      </c>
      <c r="S137" s="1" t="n">
        <v>0.5</v>
      </c>
      <c r="T137" s="5" t="n">
        <v>1.961E-007</v>
      </c>
      <c r="U137" s="5" t="n">
        <v>4.187E-005</v>
      </c>
      <c r="V137" s="1" t="n">
        <v>3.935</v>
      </c>
    </row>
    <row r="138" customFormat="false" ht="12.8" hidden="false" customHeight="false" outlineLevel="0" collapsed="false">
      <c r="A138" s="1" t="n">
        <v>13</v>
      </c>
      <c r="B138" s="4" t="s">
        <v>26</v>
      </c>
      <c r="C138" s="4" t="str">
        <f aca="false">IF(LEFT(E138,2)="S5","Spritz","Standard")</f>
        <v>Standard</v>
      </c>
      <c r="D138" s="4" t="n">
        <v>1</v>
      </c>
      <c r="E138" s="6" t="s">
        <v>28</v>
      </c>
      <c r="F138" s="1" t="s">
        <v>23</v>
      </c>
      <c r="G138" s="1" t="n">
        <v>338.3</v>
      </c>
      <c r="H138" s="1" t="n">
        <v>325.2</v>
      </c>
      <c r="I138" s="1" t="n">
        <v>22.99</v>
      </c>
      <c r="J138" s="1" t="n">
        <v>1</v>
      </c>
      <c r="K138" s="1" t="n">
        <v>0.159518</v>
      </c>
      <c r="L138" s="1" t="n">
        <v>0.01441</v>
      </c>
      <c r="M138" s="1" t="n">
        <v>9.035</v>
      </c>
      <c r="N138" s="1" t="n">
        <v>8.773</v>
      </c>
      <c r="O138" s="1" t="n">
        <v>2.159</v>
      </c>
      <c r="P138" s="1" t="n">
        <v>1.438</v>
      </c>
      <c r="Q138" s="1" t="n">
        <v>13.82</v>
      </c>
      <c r="R138" s="1" t="n">
        <v>-0.1421</v>
      </c>
      <c r="S138" s="1" t="n">
        <v>0.5</v>
      </c>
      <c r="T138" s="5" t="n">
        <v>2.415E-007</v>
      </c>
      <c r="U138" s="5" t="n">
        <v>5.318E-005</v>
      </c>
      <c r="V138" s="1" t="n">
        <v>2.968</v>
      </c>
    </row>
    <row r="139" customFormat="false" ht="12.8" hidden="false" customHeight="false" outlineLevel="0" collapsed="false">
      <c r="A139" s="1" t="n">
        <v>14</v>
      </c>
      <c r="B139" s="4" t="s">
        <v>26</v>
      </c>
      <c r="C139" s="4" t="str">
        <f aca="false">IF(LEFT(E139,2)="S5","Spritz","Standard")</f>
        <v>Standard</v>
      </c>
      <c r="D139" s="4" t="n">
        <v>1</v>
      </c>
      <c r="E139" s="6" t="s">
        <v>28</v>
      </c>
      <c r="F139" s="1" t="s">
        <v>23</v>
      </c>
      <c r="G139" s="1" t="n">
        <v>363.3</v>
      </c>
      <c r="H139" s="1" t="n">
        <v>350.3</v>
      </c>
      <c r="I139" s="1" t="n">
        <v>22.99</v>
      </c>
      <c r="J139" s="1" t="n">
        <v>1</v>
      </c>
      <c r="K139" s="1" t="n">
        <v>0.198971</v>
      </c>
      <c r="L139" s="1" t="n">
        <v>0.01736</v>
      </c>
      <c r="M139" s="1" t="n">
        <v>8.724</v>
      </c>
      <c r="N139" s="1" t="n">
        <v>8.467</v>
      </c>
      <c r="O139" s="1" t="n">
        <v>2.101</v>
      </c>
      <c r="P139" s="1" t="n">
        <v>1.388</v>
      </c>
      <c r="Q139" s="1" t="n">
        <v>13.94</v>
      </c>
      <c r="R139" s="1" t="n">
        <v>-0.142</v>
      </c>
      <c r="S139" s="1" t="n">
        <v>0.5</v>
      </c>
      <c r="T139" s="5" t="n">
        <v>2.908E-007</v>
      </c>
      <c r="U139" s="5" t="n">
        <v>6.633E-005</v>
      </c>
      <c r="V139" s="1" t="n">
        <v>2.465</v>
      </c>
    </row>
    <row r="140" customFormat="false" ht="12.8" hidden="false" customHeight="false" outlineLevel="0" collapsed="false">
      <c r="A140" s="1" t="n">
        <v>15</v>
      </c>
      <c r="B140" s="4" t="s">
        <v>26</v>
      </c>
      <c r="C140" s="4" t="str">
        <f aca="false">IF(LEFT(E140,2)="S5","Spritz","Standard")</f>
        <v>Standard</v>
      </c>
      <c r="D140" s="4" t="n">
        <v>1</v>
      </c>
      <c r="E140" s="6" t="s">
        <v>28</v>
      </c>
      <c r="F140" s="1" t="s">
        <v>23</v>
      </c>
      <c r="G140" s="1" t="n">
        <v>388.4</v>
      </c>
      <c r="H140" s="1" t="n">
        <v>375.3</v>
      </c>
      <c r="I140" s="1" t="n">
        <v>22.99</v>
      </c>
      <c r="J140" s="1" t="n">
        <v>1</v>
      </c>
      <c r="K140" s="1" t="n">
        <v>0.24994</v>
      </c>
      <c r="L140" s="1" t="n">
        <v>0.02095</v>
      </c>
      <c r="M140" s="1" t="n">
        <v>8.384</v>
      </c>
      <c r="N140" s="1" t="n">
        <v>8.126</v>
      </c>
      <c r="O140" s="1" t="n">
        <v>2.065</v>
      </c>
      <c r="P140" s="1" t="n">
        <v>1.334</v>
      </c>
      <c r="Q140" s="1" t="n">
        <v>14.26</v>
      </c>
      <c r="R140" s="1" t="n">
        <v>-0.1427</v>
      </c>
      <c r="S140" s="1" t="n">
        <v>0.5</v>
      </c>
      <c r="T140" s="5" t="n">
        <v>3.511E-007</v>
      </c>
      <c r="U140" s="5" t="n">
        <v>8.332E-005</v>
      </c>
      <c r="V140" s="1" t="n">
        <v>2.179</v>
      </c>
    </row>
    <row r="141" customFormat="false" ht="12.8" hidden="false" customHeight="false" outlineLevel="0" collapsed="false">
      <c r="A141" s="1" t="n">
        <v>16</v>
      </c>
      <c r="B141" s="4" t="s">
        <v>26</v>
      </c>
      <c r="C141" s="4" t="str">
        <f aca="false">IF(LEFT(E141,2)="S5","Spritz","Standard")</f>
        <v>Standard</v>
      </c>
      <c r="D141" s="4" t="n">
        <v>1</v>
      </c>
      <c r="E141" s="6" t="s">
        <v>28</v>
      </c>
      <c r="F141" s="1" t="s">
        <v>23</v>
      </c>
      <c r="G141" s="1" t="n">
        <v>413.4</v>
      </c>
      <c r="H141" s="1" t="n">
        <v>400.3</v>
      </c>
      <c r="I141" s="1" t="n">
        <v>23</v>
      </c>
      <c r="J141" s="1" t="n">
        <v>1</v>
      </c>
      <c r="K141" s="1" t="n">
        <v>0.316561</v>
      </c>
      <c r="L141" s="1" t="n">
        <v>0.02544</v>
      </c>
      <c r="M141" s="1" t="n">
        <v>8.036</v>
      </c>
      <c r="N141" s="1" t="n">
        <v>7.774</v>
      </c>
      <c r="O141" s="1" t="n">
        <v>2.035</v>
      </c>
      <c r="P141" s="1" t="n">
        <v>1.279</v>
      </c>
      <c r="Q141" s="1" t="n">
        <v>14.67</v>
      </c>
      <c r="R141" s="1" t="n">
        <v>-0.1428</v>
      </c>
      <c r="S141" s="1" t="n">
        <v>0.5</v>
      </c>
      <c r="T141" s="5" t="n">
        <v>4.262E-007</v>
      </c>
      <c r="U141" s="5" t="n">
        <v>0.0001055</v>
      </c>
      <c r="V141" s="1" t="n">
        <v>2.352</v>
      </c>
    </row>
    <row r="142" customFormat="false" ht="12.8" hidden="false" customHeight="false" outlineLevel="0" collapsed="false">
      <c r="A142" s="1" t="n">
        <v>17</v>
      </c>
      <c r="B142" s="4" t="s">
        <v>26</v>
      </c>
      <c r="C142" s="4" t="str">
        <f aca="false">IF(LEFT(E142,2)="S5","Spritz","Standard")</f>
        <v>Standard</v>
      </c>
      <c r="D142" s="4" t="n">
        <v>1</v>
      </c>
      <c r="E142" s="6" t="s">
        <v>28</v>
      </c>
      <c r="F142" s="1" t="s">
        <v>23</v>
      </c>
      <c r="G142" s="1" t="n">
        <v>438.4</v>
      </c>
      <c r="H142" s="1" t="n">
        <v>425.3</v>
      </c>
      <c r="I142" s="1" t="n">
        <v>23</v>
      </c>
      <c r="J142" s="1" t="n">
        <v>1</v>
      </c>
      <c r="K142" s="1" t="n">
        <v>0.399077</v>
      </c>
      <c r="L142" s="1" t="n">
        <v>0.03043</v>
      </c>
      <c r="M142" s="1" t="n">
        <v>7.625</v>
      </c>
      <c r="N142" s="1" t="n">
        <v>7.355</v>
      </c>
      <c r="O142" s="1" t="n">
        <v>2.012</v>
      </c>
      <c r="P142" s="1" t="n">
        <v>1.214</v>
      </c>
      <c r="Q142" s="1" t="n">
        <v>15.3</v>
      </c>
      <c r="R142" s="1" t="n">
        <v>-0.1428</v>
      </c>
      <c r="S142" s="1" t="n">
        <v>0.5</v>
      </c>
      <c r="T142" s="5" t="n">
        <v>5.098E-007</v>
      </c>
      <c r="U142" s="5" t="n">
        <v>0.000133</v>
      </c>
      <c r="V142" s="1" t="n">
        <v>2.4</v>
      </c>
    </row>
    <row r="143" customFormat="false" ht="12.8" hidden="false" customHeight="false" outlineLevel="0" collapsed="false">
      <c r="A143" s="1" t="n">
        <v>18</v>
      </c>
      <c r="B143" s="4" t="s">
        <v>26</v>
      </c>
      <c r="C143" s="4" t="str">
        <f aca="false">IF(LEFT(E143,2)="S5","Spritz","Standard")</f>
        <v>Standard</v>
      </c>
      <c r="D143" s="4" t="n">
        <v>1</v>
      </c>
      <c r="E143" s="6" t="s">
        <v>28</v>
      </c>
      <c r="F143" s="1" t="s">
        <v>23</v>
      </c>
      <c r="G143" s="1" t="n">
        <v>463.4</v>
      </c>
      <c r="H143" s="1" t="n">
        <v>450.3</v>
      </c>
      <c r="I143" s="1" t="n">
        <v>23</v>
      </c>
      <c r="J143" s="1" t="n">
        <v>1</v>
      </c>
      <c r="K143" s="1" t="n">
        <v>0.500964</v>
      </c>
      <c r="L143" s="1" t="n">
        <v>0.03623</v>
      </c>
      <c r="M143" s="1" t="n">
        <v>7.232</v>
      </c>
      <c r="N143" s="1" t="n">
        <v>6.951</v>
      </c>
      <c r="O143" s="1" t="n">
        <v>1.996</v>
      </c>
      <c r="P143" s="1" t="n">
        <v>1.151</v>
      </c>
      <c r="Q143" s="1" t="n">
        <v>16.02</v>
      </c>
      <c r="R143" s="1" t="n">
        <v>-0.1431</v>
      </c>
      <c r="S143" s="1" t="n">
        <v>0.5</v>
      </c>
      <c r="T143" s="5" t="n">
        <v>6.07E-007</v>
      </c>
      <c r="U143" s="5" t="n">
        <v>0.000167</v>
      </c>
      <c r="V143" s="1" t="n">
        <v>2.543</v>
      </c>
    </row>
    <row r="144" customFormat="false" ht="12.8" hidden="false" customHeight="false" outlineLevel="0" collapsed="false">
      <c r="A144" s="1" t="n">
        <v>19</v>
      </c>
      <c r="B144" s="4" t="s">
        <v>26</v>
      </c>
      <c r="C144" s="4" t="str">
        <f aca="false">IF(LEFT(E144,2)="S5","Spritz","Standard")</f>
        <v>Standard</v>
      </c>
      <c r="D144" s="4" t="n">
        <v>1</v>
      </c>
      <c r="E144" s="6" t="s">
        <v>28</v>
      </c>
      <c r="F144" s="1" t="s">
        <v>23</v>
      </c>
      <c r="G144" s="1" t="n">
        <v>488.4</v>
      </c>
      <c r="H144" s="1" t="n">
        <v>475.3</v>
      </c>
      <c r="I144" s="1" t="n">
        <v>23</v>
      </c>
      <c r="J144" s="1" t="n">
        <v>1</v>
      </c>
      <c r="K144" s="1" t="n">
        <v>0.630354</v>
      </c>
      <c r="L144" s="1" t="n">
        <v>0.04282</v>
      </c>
      <c r="M144" s="1" t="n">
        <v>6.794</v>
      </c>
      <c r="N144" s="1" t="n">
        <v>6.498</v>
      </c>
      <c r="O144" s="1" t="n">
        <v>1.983</v>
      </c>
      <c r="P144" s="1" t="n">
        <v>1.081</v>
      </c>
      <c r="Q144" s="1" t="n">
        <v>16.97</v>
      </c>
      <c r="R144" s="1" t="n">
        <v>-0.1426</v>
      </c>
      <c r="S144" s="1" t="n">
        <v>0.5</v>
      </c>
      <c r="T144" s="5" t="n">
        <v>7.174E-007</v>
      </c>
      <c r="U144" s="5" t="n">
        <v>0.0002101</v>
      </c>
      <c r="V144" s="1" t="n">
        <v>2.883</v>
      </c>
    </row>
    <row r="145" customFormat="false" ht="12.8" hidden="false" customHeight="false" outlineLevel="0" collapsed="false">
      <c r="A145" s="1" t="n">
        <v>20</v>
      </c>
      <c r="B145" s="4" t="s">
        <v>26</v>
      </c>
      <c r="C145" s="4" t="str">
        <f aca="false">IF(LEFT(E145,2)="S5","Spritz","Standard")</f>
        <v>Standard</v>
      </c>
      <c r="D145" s="4" t="n">
        <v>1</v>
      </c>
      <c r="E145" s="6" t="s">
        <v>28</v>
      </c>
      <c r="F145" s="1" t="s">
        <v>23</v>
      </c>
      <c r="G145" s="1" t="n">
        <v>513.4</v>
      </c>
      <c r="H145" s="1" t="n">
        <v>500.3</v>
      </c>
      <c r="I145" s="1" t="n">
        <v>23</v>
      </c>
      <c r="J145" s="1" t="n">
        <v>1</v>
      </c>
      <c r="K145" s="1" t="n">
        <v>0.794401</v>
      </c>
      <c r="L145" s="1" t="n">
        <v>0.05045</v>
      </c>
      <c r="M145" s="1" t="n">
        <v>6.35</v>
      </c>
      <c r="N145" s="1" t="n">
        <v>6.043</v>
      </c>
      <c r="O145" s="1" t="n">
        <v>1.95</v>
      </c>
      <c r="P145" s="1" t="n">
        <v>1.011</v>
      </c>
      <c r="Q145" s="1" t="n">
        <v>17.88</v>
      </c>
      <c r="R145" s="1" t="n">
        <v>-0.1426</v>
      </c>
      <c r="S145" s="1" t="n">
        <v>0.5</v>
      </c>
      <c r="T145" s="5" t="n">
        <v>8.451E-007</v>
      </c>
      <c r="U145" s="5" t="n">
        <v>0.0002648</v>
      </c>
      <c r="V145" s="1" t="n">
        <v>3.262</v>
      </c>
    </row>
    <row r="146" customFormat="false" ht="12.8" hidden="false" customHeight="false" outlineLevel="0" collapsed="false">
      <c r="A146" s="1" t="n">
        <v>21</v>
      </c>
      <c r="B146" s="4" t="s">
        <v>26</v>
      </c>
      <c r="C146" s="4" t="str">
        <f aca="false">IF(LEFT(E146,2)="S5","Spritz","Standard")</f>
        <v>Standard</v>
      </c>
      <c r="D146" s="4" t="n">
        <v>1</v>
      </c>
      <c r="E146" s="6" t="s">
        <v>28</v>
      </c>
      <c r="F146" s="1" t="s">
        <v>23</v>
      </c>
      <c r="G146" s="1" t="n">
        <v>538.4</v>
      </c>
      <c r="H146" s="1" t="n">
        <v>525.3</v>
      </c>
      <c r="I146" s="1" t="n">
        <v>23</v>
      </c>
      <c r="J146" s="1" t="n">
        <v>1</v>
      </c>
      <c r="K146" s="1" t="n">
        <v>1.00012</v>
      </c>
      <c r="L146" s="1" t="n">
        <v>0.05895</v>
      </c>
      <c r="M146" s="1" t="n">
        <v>5.894</v>
      </c>
      <c r="N146" s="1" t="n">
        <v>5.575</v>
      </c>
      <c r="O146" s="1" t="n">
        <v>1.913</v>
      </c>
      <c r="P146" s="1" t="n">
        <v>0.9381</v>
      </c>
      <c r="Q146" s="1" t="n">
        <v>18.94</v>
      </c>
      <c r="R146" s="1" t="n">
        <v>-0.143</v>
      </c>
      <c r="S146" s="1" t="n">
        <v>0.5</v>
      </c>
      <c r="T146" s="5" t="n">
        <v>9.875E-007</v>
      </c>
      <c r="U146" s="5" t="n">
        <v>0.0003334</v>
      </c>
      <c r="V146" s="1" t="n">
        <v>3.801</v>
      </c>
    </row>
    <row r="147" customFormat="false" ht="12.8" hidden="false" customHeight="false" outlineLevel="0" collapsed="false">
      <c r="A147" s="1" t="n">
        <v>22</v>
      </c>
      <c r="B147" s="4" t="s">
        <v>26</v>
      </c>
      <c r="C147" s="4" t="str">
        <f aca="false">IF(LEFT(E147,2)="S5","Spritz","Standard")</f>
        <v>Standard</v>
      </c>
      <c r="D147" s="4" t="n">
        <v>1</v>
      </c>
      <c r="E147" s="6" t="s">
        <v>28</v>
      </c>
      <c r="F147" s="1" t="s">
        <v>23</v>
      </c>
      <c r="G147" s="1" t="n">
        <v>563.4</v>
      </c>
      <c r="H147" s="1" t="n">
        <v>550.3</v>
      </c>
      <c r="I147" s="1" t="n">
        <v>23</v>
      </c>
      <c r="J147" s="1" t="n">
        <v>1</v>
      </c>
      <c r="K147" s="1" t="n">
        <v>1.25992</v>
      </c>
      <c r="L147" s="1" t="n">
        <v>0.06839</v>
      </c>
      <c r="M147" s="1" t="n">
        <v>5.428</v>
      </c>
      <c r="N147" s="1" t="n">
        <v>5.093</v>
      </c>
      <c r="O147" s="1" t="n">
        <v>1.879</v>
      </c>
      <c r="P147" s="1" t="n">
        <v>0.864</v>
      </c>
      <c r="Q147" s="1" t="n">
        <v>20.25</v>
      </c>
      <c r="R147" s="1" t="n">
        <v>-0.1432</v>
      </c>
      <c r="S147" s="1" t="n">
        <v>0.5</v>
      </c>
      <c r="T147" s="5" t="n">
        <v>1.146E-006</v>
      </c>
      <c r="U147" s="5" t="n">
        <v>0.00042</v>
      </c>
      <c r="V147" s="1" t="n">
        <v>3.974</v>
      </c>
    </row>
    <row r="148" customFormat="false" ht="12.8" hidden="false" customHeight="false" outlineLevel="0" collapsed="false">
      <c r="A148" s="1" t="n">
        <v>23</v>
      </c>
      <c r="B148" s="4" t="s">
        <v>26</v>
      </c>
      <c r="C148" s="4" t="str">
        <f aca="false">IF(LEFT(E148,2)="S5","Spritz","Standard")</f>
        <v>Standard</v>
      </c>
      <c r="D148" s="4" t="n">
        <v>1</v>
      </c>
      <c r="E148" s="6" t="s">
        <v>28</v>
      </c>
      <c r="F148" s="1" t="s">
        <v>23</v>
      </c>
      <c r="G148" s="1" t="n">
        <v>588.4</v>
      </c>
      <c r="H148" s="1" t="n">
        <v>575.3</v>
      </c>
      <c r="I148" s="1" t="n">
        <v>23</v>
      </c>
      <c r="J148" s="1" t="n">
        <v>1</v>
      </c>
      <c r="K148" s="1" t="n">
        <v>1.58558</v>
      </c>
      <c r="L148" s="1" t="n">
        <v>0.07896</v>
      </c>
      <c r="M148" s="1" t="n">
        <v>4.98</v>
      </c>
      <c r="N148" s="1" t="n">
        <v>4.636</v>
      </c>
      <c r="O148" s="1" t="n">
        <v>1.819</v>
      </c>
      <c r="P148" s="1" t="n">
        <v>0.7926</v>
      </c>
      <c r="Q148" s="1" t="n">
        <v>21.42</v>
      </c>
      <c r="R148" s="1" t="n">
        <v>-0.1418</v>
      </c>
      <c r="S148" s="1" t="n">
        <v>0.5</v>
      </c>
      <c r="T148" s="5" t="n">
        <v>1.323E-006</v>
      </c>
      <c r="U148" s="5" t="n">
        <v>0.0005286</v>
      </c>
      <c r="V148" s="1" t="n">
        <v>4.851</v>
      </c>
    </row>
    <row r="149" customFormat="false" ht="12.8" hidden="false" customHeight="false" outlineLevel="0" collapsed="false">
      <c r="A149" s="1" t="n">
        <v>24</v>
      </c>
      <c r="B149" s="4" t="s">
        <v>26</v>
      </c>
      <c r="C149" s="4" t="str">
        <f aca="false">IF(LEFT(E149,2)="S5","Spritz","Standard")</f>
        <v>Standard</v>
      </c>
      <c r="D149" s="4" t="n">
        <v>1</v>
      </c>
      <c r="E149" s="6" t="s">
        <v>28</v>
      </c>
      <c r="F149" s="1" t="s">
        <v>23</v>
      </c>
      <c r="G149" s="1" t="n">
        <v>613.5</v>
      </c>
      <c r="H149" s="1" t="n">
        <v>600.4</v>
      </c>
      <c r="I149" s="1" t="n">
        <v>23</v>
      </c>
      <c r="J149" s="1" t="n">
        <v>1</v>
      </c>
      <c r="K149" s="1" t="n">
        <v>1.99498</v>
      </c>
      <c r="L149" s="1" t="n">
        <v>0.09039</v>
      </c>
      <c r="M149" s="1" t="n">
        <v>4.531</v>
      </c>
      <c r="N149" s="1" t="n">
        <v>4.174</v>
      </c>
      <c r="O149" s="1" t="n">
        <v>1.761</v>
      </c>
      <c r="P149" s="1" t="n">
        <v>0.7211</v>
      </c>
      <c r="Q149" s="1" t="n">
        <v>22.88</v>
      </c>
      <c r="R149" s="1" t="n">
        <v>-0.1432</v>
      </c>
      <c r="S149" s="1" t="n">
        <v>0.5</v>
      </c>
      <c r="T149" s="5" t="n">
        <v>1.514E-006</v>
      </c>
      <c r="U149" s="5" t="n">
        <v>0.000665</v>
      </c>
      <c r="V149" s="1" t="n">
        <v>6.392</v>
      </c>
    </row>
    <row r="150" customFormat="false" ht="12.8" hidden="false" customHeight="false" outlineLevel="0" collapsed="false">
      <c r="A150" s="1" t="n">
        <v>25</v>
      </c>
      <c r="B150" s="4" t="s">
        <v>26</v>
      </c>
      <c r="C150" s="4" t="str">
        <f aca="false">IF(LEFT(E150,2)="S5","Spritz","Standard")</f>
        <v>Standard</v>
      </c>
      <c r="D150" s="4" t="n">
        <v>1</v>
      </c>
      <c r="E150" s="6" t="s">
        <v>28</v>
      </c>
      <c r="F150" s="1" t="s">
        <v>23</v>
      </c>
      <c r="G150" s="1" t="n">
        <v>638.5</v>
      </c>
      <c r="H150" s="1" t="n">
        <v>625.4</v>
      </c>
      <c r="I150" s="1" t="n">
        <v>23</v>
      </c>
      <c r="J150" s="1" t="n">
        <v>1</v>
      </c>
      <c r="K150" s="1" t="n">
        <v>2.51354</v>
      </c>
      <c r="L150" s="1" t="n">
        <v>0.1024</v>
      </c>
      <c r="M150" s="1" t="n">
        <v>4.074</v>
      </c>
      <c r="N150" s="1" t="n">
        <v>3.704</v>
      </c>
      <c r="O150" s="1" t="n">
        <v>1.697</v>
      </c>
      <c r="P150" s="1" t="n">
        <v>0.6484</v>
      </c>
      <c r="Q150" s="1" t="n">
        <v>24.61</v>
      </c>
      <c r="R150" s="1" t="n">
        <v>-0.1428</v>
      </c>
      <c r="S150" s="1" t="n">
        <v>0.5</v>
      </c>
      <c r="T150" s="5" t="n">
        <v>1.715E-006</v>
      </c>
      <c r="U150" s="5" t="n">
        <v>0.0008379</v>
      </c>
      <c r="V150" s="1" t="n">
        <v>7.686</v>
      </c>
    </row>
    <row r="151" customFormat="false" ht="12.8" hidden="false" customHeight="false" outlineLevel="0" collapsed="false">
      <c r="A151" s="1" t="n">
        <v>26</v>
      </c>
      <c r="B151" s="4" t="s">
        <v>26</v>
      </c>
      <c r="C151" s="4" t="str">
        <f aca="false">IF(LEFT(E151,2)="S5","Spritz","Standard")</f>
        <v>Standard</v>
      </c>
      <c r="D151" s="4" t="n">
        <v>1</v>
      </c>
      <c r="E151" s="6" t="s">
        <v>28</v>
      </c>
      <c r="F151" s="1" t="s">
        <v>23</v>
      </c>
      <c r="G151" s="1" t="n">
        <v>663.5</v>
      </c>
      <c r="H151" s="1" t="n">
        <v>650.4</v>
      </c>
      <c r="I151" s="1" t="n">
        <v>23</v>
      </c>
      <c r="J151" s="1" t="n">
        <v>1</v>
      </c>
      <c r="K151" s="1" t="n">
        <v>3.16468</v>
      </c>
      <c r="L151" s="1" t="n">
        <v>0.1156</v>
      </c>
      <c r="M151" s="1" t="n">
        <v>3.653</v>
      </c>
      <c r="N151" s="1" t="n">
        <v>3.271</v>
      </c>
      <c r="O151" s="1" t="n">
        <v>1.625</v>
      </c>
      <c r="P151" s="1" t="n">
        <v>0.5813</v>
      </c>
      <c r="Q151" s="1" t="n">
        <v>26.41</v>
      </c>
      <c r="R151" s="1" t="n">
        <v>-0.1423</v>
      </c>
      <c r="S151" s="1" t="n">
        <v>0.5</v>
      </c>
      <c r="T151" s="5" t="n">
        <v>1.937E-006</v>
      </c>
      <c r="U151" s="5" t="n">
        <v>0.001055</v>
      </c>
      <c r="V151" s="1" t="n">
        <v>8.609</v>
      </c>
    </row>
    <row r="152" customFormat="false" ht="12.8" hidden="false" customHeight="false" outlineLevel="0" collapsed="false">
      <c r="A152" s="1" t="n">
        <v>27</v>
      </c>
      <c r="B152" s="4" t="s">
        <v>26</v>
      </c>
      <c r="C152" s="4" t="str">
        <f aca="false">IF(LEFT(E152,2)="S5","Spritz","Standard")</f>
        <v>Standard</v>
      </c>
      <c r="D152" s="4" t="n">
        <v>1</v>
      </c>
      <c r="E152" s="6" t="s">
        <v>28</v>
      </c>
      <c r="F152" s="1" t="s">
        <v>23</v>
      </c>
      <c r="G152" s="1" t="n">
        <v>688.5</v>
      </c>
      <c r="H152" s="1" t="n">
        <v>675.4</v>
      </c>
      <c r="I152" s="1" t="n">
        <v>23</v>
      </c>
      <c r="J152" s="1" t="n">
        <v>1</v>
      </c>
      <c r="K152" s="1" t="n">
        <v>3.98261</v>
      </c>
      <c r="L152" s="1" t="n">
        <v>0.1287</v>
      </c>
      <c r="M152" s="1" t="n">
        <v>3.231</v>
      </c>
      <c r="N152" s="1" t="n">
        <v>2.843</v>
      </c>
      <c r="O152" s="1" t="n">
        <v>1.534</v>
      </c>
      <c r="P152" s="1" t="n">
        <v>0.5142</v>
      </c>
      <c r="Q152" s="1" t="n">
        <v>28.35</v>
      </c>
      <c r="R152" s="1" t="n">
        <v>-0.1429</v>
      </c>
      <c r="S152" s="1" t="n">
        <v>0.5</v>
      </c>
      <c r="T152" s="5" t="n">
        <v>2.156E-006</v>
      </c>
      <c r="U152" s="5" t="n">
        <v>0.001328</v>
      </c>
      <c r="V152" s="1" t="n">
        <v>10.38</v>
      </c>
    </row>
    <row r="153" customFormat="false" ht="12.8" hidden="false" customHeight="false" outlineLevel="0" collapsed="false">
      <c r="A153" s="1" t="n">
        <v>28</v>
      </c>
      <c r="B153" s="4" t="s">
        <v>26</v>
      </c>
      <c r="C153" s="4" t="str">
        <f aca="false">IF(LEFT(E153,2)="S5","Spritz","Standard")</f>
        <v>Standard</v>
      </c>
      <c r="D153" s="4" t="n">
        <v>1</v>
      </c>
      <c r="E153" s="6" t="s">
        <v>28</v>
      </c>
      <c r="F153" s="1" t="s">
        <v>23</v>
      </c>
      <c r="G153" s="1" t="n">
        <v>713.5</v>
      </c>
      <c r="H153" s="1" t="n">
        <v>700.4</v>
      </c>
      <c r="I153" s="1" t="n">
        <v>23</v>
      </c>
      <c r="J153" s="1" t="n">
        <v>1</v>
      </c>
      <c r="K153" s="1" t="n">
        <v>5.0145</v>
      </c>
      <c r="L153" s="1" t="n">
        <v>0.1422</v>
      </c>
      <c r="M153" s="1" t="n">
        <v>2.837</v>
      </c>
      <c r="N153" s="1" t="n">
        <v>2.446</v>
      </c>
      <c r="O153" s="1" t="n">
        <v>1.437</v>
      </c>
      <c r="P153" s="1" t="n">
        <v>0.4515</v>
      </c>
      <c r="Q153" s="1" t="n">
        <v>30.43</v>
      </c>
      <c r="R153" s="1" t="n">
        <v>-0.142</v>
      </c>
      <c r="S153" s="1" t="n">
        <v>0.5</v>
      </c>
      <c r="T153" s="5" t="n">
        <v>2.383E-006</v>
      </c>
      <c r="U153" s="5" t="n">
        <v>0.001672</v>
      </c>
      <c r="V153" s="1" t="n">
        <v>11.01</v>
      </c>
    </row>
    <row r="154" customFormat="false" ht="12.8" hidden="false" customHeight="false" outlineLevel="0" collapsed="false">
      <c r="A154" s="1" t="n">
        <v>29</v>
      </c>
      <c r="B154" s="4" t="s">
        <v>26</v>
      </c>
      <c r="C154" s="4" t="str">
        <f aca="false">IF(LEFT(E154,2)="S5","Spritz","Standard")</f>
        <v>Standard</v>
      </c>
      <c r="D154" s="4" t="n">
        <v>1</v>
      </c>
      <c r="E154" s="6" t="s">
        <v>28</v>
      </c>
      <c r="F154" s="1" t="s">
        <v>23</v>
      </c>
      <c r="G154" s="1" t="n">
        <v>738.5</v>
      </c>
      <c r="H154" s="1" t="n">
        <v>725.4</v>
      </c>
      <c r="I154" s="1" t="n">
        <v>23</v>
      </c>
      <c r="J154" s="1" t="n">
        <v>1</v>
      </c>
      <c r="K154" s="1" t="n">
        <v>6.31439</v>
      </c>
      <c r="L154" s="1" t="n">
        <v>0.1547</v>
      </c>
      <c r="M154" s="1" t="n">
        <v>2.451</v>
      </c>
      <c r="N154" s="1" t="n">
        <v>2.059</v>
      </c>
      <c r="O154" s="1" t="n">
        <v>1.33</v>
      </c>
      <c r="P154" s="1" t="n">
        <v>0.39</v>
      </c>
      <c r="Q154" s="1" t="n">
        <v>32.86</v>
      </c>
      <c r="R154" s="1" t="n">
        <v>-0.1418</v>
      </c>
      <c r="S154" s="1" t="n">
        <v>0.5</v>
      </c>
      <c r="T154" s="5" t="n">
        <v>2.592E-006</v>
      </c>
      <c r="U154" s="5" t="n">
        <v>0.002105</v>
      </c>
      <c r="V154" s="1" t="n">
        <v>11.65</v>
      </c>
    </row>
    <row r="155" customFormat="false" ht="12.8" hidden="false" customHeight="false" outlineLevel="0" collapsed="false">
      <c r="A155" s="1" t="n">
        <v>30</v>
      </c>
      <c r="B155" s="4" t="s">
        <v>26</v>
      </c>
      <c r="C155" s="4" t="str">
        <f aca="false">IF(LEFT(E155,2)="S5","Spritz","Standard")</f>
        <v>Standard</v>
      </c>
      <c r="D155" s="4" t="n">
        <v>1</v>
      </c>
      <c r="E155" s="6" t="s">
        <v>28</v>
      </c>
      <c r="F155" s="1" t="s">
        <v>23</v>
      </c>
      <c r="G155" s="1" t="n">
        <v>763.5</v>
      </c>
      <c r="H155" s="1" t="n">
        <v>750.4</v>
      </c>
      <c r="I155" s="1" t="n">
        <v>23</v>
      </c>
      <c r="J155" s="1" t="n">
        <v>1</v>
      </c>
      <c r="K155" s="1" t="n">
        <v>7.95173</v>
      </c>
      <c r="L155" s="1" t="n">
        <v>0.1643</v>
      </c>
      <c r="M155" s="1" t="n">
        <v>2.066</v>
      </c>
      <c r="N155" s="1" t="n">
        <v>1.687</v>
      </c>
      <c r="O155" s="1" t="n">
        <v>1.192</v>
      </c>
      <c r="P155" s="1" t="n">
        <v>0.3288</v>
      </c>
      <c r="Q155" s="1" t="n">
        <v>35.24</v>
      </c>
      <c r="R155" s="1" t="n">
        <v>-0.1425</v>
      </c>
      <c r="S155" s="1" t="n">
        <v>0.5</v>
      </c>
      <c r="T155" s="5" t="n">
        <v>2.752E-006</v>
      </c>
      <c r="U155" s="5" t="n">
        <v>0.002651</v>
      </c>
      <c r="V155" s="1" t="n">
        <v>14.57</v>
      </c>
    </row>
    <row r="156" customFormat="false" ht="12.8" hidden="false" customHeight="false" outlineLevel="0" collapsed="false">
      <c r="A156" s="1" t="n">
        <v>31</v>
      </c>
      <c r="B156" s="4" t="s">
        <v>26</v>
      </c>
      <c r="C156" s="4" t="str">
        <f aca="false">IF(LEFT(E156,2)="S5","Spritz","Standard")</f>
        <v>Standard</v>
      </c>
      <c r="D156" s="4" t="n">
        <v>1</v>
      </c>
      <c r="E156" s="6" t="s">
        <v>28</v>
      </c>
      <c r="F156" s="1" t="s">
        <v>23</v>
      </c>
      <c r="G156" s="1" t="n">
        <v>788.5</v>
      </c>
      <c r="H156" s="1" t="n">
        <v>775.5</v>
      </c>
      <c r="I156" s="1" t="n">
        <v>23</v>
      </c>
      <c r="J156" s="1" t="n">
        <v>1</v>
      </c>
      <c r="K156" s="1" t="n">
        <v>10.0119</v>
      </c>
      <c r="L156" s="1" t="n">
        <v>0.1723</v>
      </c>
      <c r="M156" s="1" t="n">
        <v>1.721</v>
      </c>
      <c r="N156" s="1" t="n">
        <v>1.362</v>
      </c>
      <c r="O156" s="1" t="n">
        <v>1.053</v>
      </c>
      <c r="P156" s="1" t="n">
        <v>0.274</v>
      </c>
      <c r="Q156" s="1" t="n">
        <v>37.71</v>
      </c>
      <c r="R156" s="1" t="n">
        <v>-0.1423</v>
      </c>
      <c r="S156" s="1" t="n">
        <v>0.5</v>
      </c>
      <c r="T156" s="5" t="n">
        <v>2.887E-006</v>
      </c>
      <c r="U156" s="5" t="n">
        <v>0.003337</v>
      </c>
      <c r="V156" s="1" t="n">
        <v>16.55</v>
      </c>
    </row>
    <row r="157" customFormat="false" ht="12.8" hidden="false" customHeight="false" outlineLevel="0" collapsed="false">
      <c r="A157" s="1" t="n">
        <v>1</v>
      </c>
      <c r="B157" s="4" t="s">
        <v>26</v>
      </c>
      <c r="C157" s="4" t="str">
        <f aca="false">IF(LEFT(E157,2)="S5","Spritz","Standard")</f>
        <v>Standard</v>
      </c>
      <c r="D157" s="4" t="n">
        <v>2</v>
      </c>
      <c r="E157" s="6" t="s">
        <v>29</v>
      </c>
      <c r="F157" s="1" t="s">
        <v>23</v>
      </c>
      <c r="G157" s="1" t="n">
        <v>36.85</v>
      </c>
      <c r="H157" s="1" t="n">
        <v>25</v>
      </c>
      <c r="I157" s="1" t="n">
        <v>23.06</v>
      </c>
      <c r="J157" s="1" t="n">
        <v>1</v>
      </c>
      <c r="K157" s="1" t="n">
        <v>0.0112289</v>
      </c>
      <c r="L157" s="5" t="n">
        <v>0.003358</v>
      </c>
      <c r="M157" s="1" t="n">
        <v>29.9</v>
      </c>
      <c r="N157" s="1" t="n">
        <v>28.7</v>
      </c>
      <c r="O157" s="1" t="n">
        <v>8.402</v>
      </c>
      <c r="P157" s="1" t="n">
        <v>4.759</v>
      </c>
      <c r="Q157" s="1" t="n">
        <v>16.32</v>
      </c>
      <c r="R157" s="1" t="n">
        <v>-0.175</v>
      </c>
      <c r="S157" s="1" t="n">
        <v>0.5</v>
      </c>
      <c r="T157" s="5" t="n">
        <v>5.625E-008</v>
      </c>
      <c r="U157" s="5" t="n">
        <v>3.743E-006</v>
      </c>
      <c r="V157" s="1" t="n">
        <v>3.2</v>
      </c>
    </row>
    <row r="158" customFormat="false" ht="12.8" hidden="false" customHeight="false" outlineLevel="0" collapsed="false">
      <c r="A158" s="1" t="n">
        <v>2</v>
      </c>
      <c r="B158" s="4" t="s">
        <v>26</v>
      </c>
      <c r="C158" s="4" t="str">
        <f aca="false">IF(LEFT(E158,2)="S5","Spritz","Standard")</f>
        <v>Standard</v>
      </c>
      <c r="D158" s="4" t="n">
        <v>2</v>
      </c>
      <c r="E158" s="6" t="s">
        <v>29</v>
      </c>
      <c r="F158" s="1" t="s">
        <v>23</v>
      </c>
      <c r="G158" s="1" t="n">
        <v>61.86</v>
      </c>
      <c r="H158" s="1" t="n">
        <v>50.01</v>
      </c>
      <c r="I158" s="1" t="n">
        <v>23.05</v>
      </c>
      <c r="J158" s="1" t="n">
        <v>1</v>
      </c>
      <c r="K158" s="1" t="n">
        <v>0.0122012</v>
      </c>
      <c r="L158" s="5" t="n">
        <v>0.00372</v>
      </c>
      <c r="M158" s="1" t="n">
        <v>30.49</v>
      </c>
      <c r="N158" s="1" t="n">
        <v>29.31</v>
      </c>
      <c r="O158" s="1" t="n">
        <v>8.414</v>
      </c>
      <c r="P158" s="1" t="n">
        <v>4.853</v>
      </c>
      <c r="Q158" s="1" t="n">
        <v>16.02</v>
      </c>
      <c r="R158" s="1" t="n">
        <v>-0.1761</v>
      </c>
      <c r="S158" s="1" t="n">
        <v>0.5</v>
      </c>
      <c r="T158" s="5" t="n">
        <v>6.232E-008</v>
      </c>
      <c r="U158" s="5" t="n">
        <v>4.067E-006</v>
      </c>
      <c r="V158" s="1" t="n">
        <v>2.673</v>
      </c>
    </row>
    <row r="159" customFormat="false" ht="12.8" hidden="false" customHeight="false" outlineLevel="0" collapsed="false">
      <c r="A159" s="1" t="n">
        <v>3</v>
      </c>
      <c r="B159" s="4" t="s">
        <v>26</v>
      </c>
      <c r="C159" s="4" t="str">
        <f aca="false">IF(LEFT(E159,2)="S5","Spritz","Standard")</f>
        <v>Standard</v>
      </c>
      <c r="D159" s="4" t="n">
        <v>2</v>
      </c>
      <c r="E159" s="6" t="s">
        <v>29</v>
      </c>
      <c r="F159" s="1" t="s">
        <v>23</v>
      </c>
      <c r="G159" s="1" t="n">
        <v>86.87</v>
      </c>
      <c r="H159" s="1" t="n">
        <v>75.02</v>
      </c>
      <c r="I159" s="1" t="n">
        <v>23.03</v>
      </c>
      <c r="J159" s="1" t="n">
        <v>1</v>
      </c>
      <c r="K159" s="1" t="n">
        <v>0.015005</v>
      </c>
      <c r="L159" s="5" t="n">
        <v>0.004507</v>
      </c>
      <c r="M159" s="1" t="n">
        <v>30.04</v>
      </c>
      <c r="N159" s="1" t="n">
        <v>29.19</v>
      </c>
      <c r="O159" s="1" t="n">
        <v>7.063</v>
      </c>
      <c r="P159" s="1" t="n">
        <v>4.78</v>
      </c>
      <c r="Q159" s="1" t="n">
        <v>13.6</v>
      </c>
      <c r="R159" s="1" t="n">
        <v>-0.1764</v>
      </c>
      <c r="S159" s="1" t="n">
        <v>0.5</v>
      </c>
      <c r="T159" s="5" t="n">
        <v>7.55E-008</v>
      </c>
      <c r="U159" s="5" t="n">
        <v>5.002E-006</v>
      </c>
      <c r="V159" s="1" t="n">
        <v>2.252</v>
      </c>
    </row>
    <row r="160" customFormat="false" ht="12.8" hidden="false" customHeight="false" outlineLevel="0" collapsed="false">
      <c r="A160" s="1" t="n">
        <v>4</v>
      </c>
      <c r="B160" s="4" t="s">
        <v>26</v>
      </c>
      <c r="C160" s="4" t="str">
        <f aca="false">IF(LEFT(E160,2)="S5","Spritz","Standard")</f>
        <v>Standard</v>
      </c>
      <c r="D160" s="4" t="n">
        <v>2</v>
      </c>
      <c r="E160" s="6" t="s">
        <v>29</v>
      </c>
      <c r="F160" s="1" t="s">
        <v>23</v>
      </c>
      <c r="G160" s="1" t="n">
        <v>111.9</v>
      </c>
      <c r="H160" s="1" t="n">
        <v>100</v>
      </c>
      <c r="I160" s="1" t="n">
        <v>23.02</v>
      </c>
      <c r="J160" s="1" t="n">
        <v>1</v>
      </c>
      <c r="K160" s="1" t="n">
        <v>0.0209895</v>
      </c>
      <c r="L160" s="5" t="n">
        <v>0.006245</v>
      </c>
      <c r="M160" s="1" t="n">
        <v>29.75</v>
      </c>
      <c r="N160" s="1" t="n">
        <v>28.85</v>
      </c>
      <c r="O160" s="1" t="n">
        <v>7.279</v>
      </c>
      <c r="P160" s="1" t="n">
        <v>4.735</v>
      </c>
      <c r="Q160" s="1" t="n">
        <v>14.16</v>
      </c>
      <c r="R160" s="1" t="n">
        <v>-0.1769</v>
      </c>
      <c r="S160" s="1" t="n">
        <v>0.5</v>
      </c>
      <c r="T160" s="5" t="n">
        <v>1.046E-007</v>
      </c>
      <c r="U160" s="5" t="n">
        <v>6.997E-006</v>
      </c>
      <c r="V160" s="1" t="n">
        <v>2.39</v>
      </c>
    </row>
    <row r="161" customFormat="false" ht="12.8" hidden="false" customHeight="false" outlineLevel="0" collapsed="false">
      <c r="A161" s="1" t="n">
        <v>5</v>
      </c>
      <c r="B161" s="4" t="s">
        <v>26</v>
      </c>
      <c r="C161" s="4" t="str">
        <f aca="false">IF(LEFT(E161,2)="S5","Spritz","Standard")</f>
        <v>Standard</v>
      </c>
      <c r="D161" s="4" t="n">
        <v>2</v>
      </c>
      <c r="E161" s="6" t="s">
        <v>29</v>
      </c>
      <c r="F161" s="1" t="s">
        <v>23</v>
      </c>
      <c r="G161" s="1" t="n">
        <v>136.9</v>
      </c>
      <c r="H161" s="1" t="n">
        <v>125.1</v>
      </c>
      <c r="I161" s="1" t="n">
        <v>23.01</v>
      </c>
      <c r="J161" s="1" t="n">
        <v>1</v>
      </c>
      <c r="K161" s="1" t="n">
        <v>0.0241437</v>
      </c>
      <c r="L161" s="5" t="n">
        <v>0.007077</v>
      </c>
      <c r="M161" s="1" t="n">
        <v>29.31</v>
      </c>
      <c r="N161" s="1" t="n">
        <v>28.61</v>
      </c>
      <c r="O161" s="1" t="n">
        <v>6.383</v>
      </c>
      <c r="P161" s="1" t="n">
        <v>4.665</v>
      </c>
      <c r="Q161" s="1" t="n">
        <v>12.58</v>
      </c>
      <c r="R161" s="1" t="n">
        <v>-0.1771</v>
      </c>
      <c r="S161" s="1" t="n">
        <v>0.5</v>
      </c>
      <c r="T161" s="5" t="n">
        <v>1.186E-007</v>
      </c>
      <c r="U161" s="5" t="n">
        <v>8.048E-006</v>
      </c>
      <c r="V161" s="1" t="n">
        <v>2.115</v>
      </c>
    </row>
    <row r="162" customFormat="false" ht="12.8" hidden="false" customHeight="false" outlineLevel="0" collapsed="false">
      <c r="A162" s="1" t="n">
        <v>6</v>
      </c>
      <c r="B162" s="4" t="s">
        <v>26</v>
      </c>
      <c r="C162" s="4" t="str">
        <f aca="false">IF(LEFT(E162,2)="S5","Spritz","Standard")</f>
        <v>Standard</v>
      </c>
      <c r="D162" s="4" t="n">
        <v>2</v>
      </c>
      <c r="E162" s="6" t="s">
        <v>29</v>
      </c>
      <c r="F162" s="1" t="s">
        <v>23</v>
      </c>
      <c r="G162" s="1" t="n">
        <v>161.9</v>
      </c>
      <c r="H162" s="1" t="n">
        <v>150.1</v>
      </c>
      <c r="I162" s="1" t="n">
        <v>23</v>
      </c>
      <c r="J162" s="1" t="n">
        <v>1</v>
      </c>
      <c r="K162" s="1" t="n">
        <v>0.0314064</v>
      </c>
      <c r="L162" s="5" t="n">
        <v>0.009038</v>
      </c>
      <c r="M162" s="1" t="n">
        <v>28.78</v>
      </c>
      <c r="N162" s="1" t="n">
        <v>28.21</v>
      </c>
      <c r="O162" s="1" t="n">
        <v>5.683</v>
      </c>
      <c r="P162" s="1" t="n">
        <v>4.58</v>
      </c>
      <c r="Q162" s="1" t="n">
        <v>11.39</v>
      </c>
      <c r="R162" s="1" t="n">
        <v>-0.1785</v>
      </c>
      <c r="S162" s="1" t="n">
        <v>0.5</v>
      </c>
      <c r="T162" s="5" t="n">
        <v>1.514E-007</v>
      </c>
      <c r="U162" s="5" t="n">
        <v>1.047E-005</v>
      </c>
      <c r="V162" s="1" t="n">
        <v>2.692</v>
      </c>
    </row>
    <row r="163" customFormat="false" ht="12.8" hidden="false" customHeight="false" outlineLevel="0" collapsed="false">
      <c r="A163" s="1" t="n">
        <v>7</v>
      </c>
      <c r="B163" s="4" t="s">
        <v>26</v>
      </c>
      <c r="C163" s="4" t="str">
        <f aca="false">IF(LEFT(E163,2)="S5","Spritz","Standard")</f>
        <v>Standard</v>
      </c>
      <c r="D163" s="4" t="n">
        <v>2</v>
      </c>
      <c r="E163" s="6" t="s">
        <v>29</v>
      </c>
      <c r="F163" s="1" t="s">
        <v>23</v>
      </c>
      <c r="G163" s="1" t="n">
        <v>186.9</v>
      </c>
      <c r="H163" s="1" t="n">
        <v>175.1</v>
      </c>
      <c r="I163" s="1" t="n">
        <v>23</v>
      </c>
      <c r="J163" s="1" t="n">
        <v>1</v>
      </c>
      <c r="K163" s="1" t="n">
        <v>0.0401625</v>
      </c>
      <c r="L163" s="1" t="n">
        <v>0.01145</v>
      </c>
      <c r="M163" s="1" t="n">
        <v>28.5</v>
      </c>
      <c r="N163" s="1" t="n">
        <v>27.95</v>
      </c>
      <c r="O163" s="1" t="n">
        <v>5.572</v>
      </c>
      <c r="P163" s="1" t="n">
        <v>4.537</v>
      </c>
      <c r="Q163" s="1" t="n">
        <v>11.27</v>
      </c>
      <c r="R163" s="1" t="n">
        <v>-0.1784</v>
      </c>
      <c r="S163" s="1" t="n">
        <v>0.5</v>
      </c>
      <c r="T163" s="5" t="n">
        <v>1.918E-007</v>
      </c>
      <c r="U163" s="5" t="n">
        <v>1.339E-005</v>
      </c>
      <c r="V163" s="1" t="n">
        <v>2.442</v>
      </c>
    </row>
    <row r="164" customFormat="false" ht="12.8" hidden="false" customHeight="false" outlineLevel="0" collapsed="false">
      <c r="A164" s="1" t="n">
        <v>8</v>
      </c>
      <c r="B164" s="4" t="s">
        <v>26</v>
      </c>
      <c r="C164" s="4" t="str">
        <f aca="false">IF(LEFT(E164,2)="S5","Spritz","Standard")</f>
        <v>Standard</v>
      </c>
      <c r="D164" s="4" t="n">
        <v>2</v>
      </c>
      <c r="E164" s="6" t="s">
        <v>29</v>
      </c>
      <c r="F164" s="1" t="s">
        <v>23</v>
      </c>
      <c r="G164" s="1" t="n">
        <v>211.9</v>
      </c>
      <c r="H164" s="1" t="n">
        <v>200.1</v>
      </c>
      <c r="I164" s="1" t="n">
        <v>22.99</v>
      </c>
      <c r="J164" s="1" t="n">
        <v>1</v>
      </c>
      <c r="K164" s="1" t="n">
        <v>0.0497733</v>
      </c>
      <c r="L164" s="1" t="n">
        <v>0.01401</v>
      </c>
      <c r="M164" s="1" t="n">
        <v>28.15</v>
      </c>
      <c r="N164" s="1" t="n">
        <v>27.66</v>
      </c>
      <c r="O164" s="1" t="n">
        <v>5.218</v>
      </c>
      <c r="P164" s="1" t="n">
        <v>4.481</v>
      </c>
      <c r="Q164" s="1" t="n">
        <v>10.68</v>
      </c>
      <c r="R164" s="1" t="n">
        <v>-0.1784</v>
      </c>
      <c r="S164" s="1" t="n">
        <v>0.5</v>
      </c>
      <c r="T164" s="5" t="n">
        <v>2.347E-007</v>
      </c>
      <c r="U164" s="5" t="n">
        <v>1.659E-005</v>
      </c>
      <c r="V164" s="1" t="n">
        <v>3.525</v>
      </c>
    </row>
    <row r="165" customFormat="false" ht="12.8" hidden="false" customHeight="false" outlineLevel="0" collapsed="false">
      <c r="A165" s="1" t="n">
        <v>9</v>
      </c>
      <c r="B165" s="4" t="s">
        <v>26</v>
      </c>
      <c r="C165" s="4" t="str">
        <f aca="false">IF(LEFT(E165,2)="S5","Spritz","Standard")</f>
        <v>Standard</v>
      </c>
      <c r="D165" s="4" t="n">
        <v>2</v>
      </c>
      <c r="E165" s="6" t="s">
        <v>29</v>
      </c>
      <c r="F165" s="1" t="s">
        <v>23</v>
      </c>
      <c r="G165" s="1" t="n">
        <v>237</v>
      </c>
      <c r="H165" s="1" t="n">
        <v>225.1</v>
      </c>
      <c r="I165" s="1" t="n">
        <v>23</v>
      </c>
      <c r="J165" s="1" t="n">
        <v>1</v>
      </c>
      <c r="K165" s="1" t="n">
        <v>0.0621903</v>
      </c>
      <c r="L165" s="1" t="n">
        <v>0.01739</v>
      </c>
      <c r="M165" s="1" t="n">
        <v>27.97</v>
      </c>
      <c r="N165" s="1" t="n">
        <v>27.48</v>
      </c>
      <c r="O165" s="1" t="n">
        <v>5.215</v>
      </c>
      <c r="P165" s="1" t="n">
        <v>4.451</v>
      </c>
      <c r="Q165" s="1" t="n">
        <v>10.75</v>
      </c>
      <c r="R165" s="1" t="n">
        <v>-0.1787</v>
      </c>
      <c r="S165" s="1" t="n">
        <v>0.5</v>
      </c>
      <c r="T165" s="5" t="n">
        <v>2.914E-007</v>
      </c>
      <c r="U165" s="5" t="n">
        <v>2.073E-005</v>
      </c>
      <c r="V165" s="1" t="n">
        <v>2.985</v>
      </c>
    </row>
    <row r="166" customFormat="false" ht="12.8" hidden="false" customHeight="false" outlineLevel="0" collapsed="false">
      <c r="A166" s="1" t="n">
        <v>10</v>
      </c>
      <c r="B166" s="4" t="s">
        <v>26</v>
      </c>
      <c r="C166" s="4" t="str">
        <f aca="false">IF(LEFT(E166,2)="S5","Spritz","Standard")</f>
        <v>Standard</v>
      </c>
      <c r="D166" s="4" t="n">
        <v>2</v>
      </c>
      <c r="E166" s="6" t="s">
        <v>29</v>
      </c>
      <c r="F166" s="1" t="s">
        <v>23</v>
      </c>
      <c r="G166" s="1" t="n">
        <v>262</v>
      </c>
      <c r="H166" s="1" t="n">
        <v>250.1</v>
      </c>
      <c r="I166" s="1" t="n">
        <v>22.99</v>
      </c>
      <c r="J166" s="1" t="n">
        <v>1</v>
      </c>
      <c r="K166" s="1" t="n">
        <v>0.0803166</v>
      </c>
      <c r="L166" s="1" t="n">
        <v>0.02208</v>
      </c>
      <c r="M166" s="1" t="n">
        <v>27.5</v>
      </c>
      <c r="N166" s="1" t="n">
        <v>27.06</v>
      </c>
      <c r="O166" s="1" t="n">
        <v>4.898</v>
      </c>
      <c r="P166" s="1" t="n">
        <v>4.376</v>
      </c>
      <c r="Q166" s="1" t="n">
        <v>10.26</v>
      </c>
      <c r="R166" s="1" t="n">
        <v>-0.1785</v>
      </c>
      <c r="S166" s="1" t="n">
        <v>0.5</v>
      </c>
      <c r="T166" s="5" t="n">
        <v>3.7E-007</v>
      </c>
      <c r="U166" s="5" t="n">
        <v>2.677E-005</v>
      </c>
      <c r="V166" s="1" t="n">
        <v>2.941</v>
      </c>
    </row>
    <row r="167" customFormat="false" ht="12.8" hidden="false" customHeight="false" outlineLevel="0" collapsed="false">
      <c r="A167" s="1" t="n">
        <v>11</v>
      </c>
      <c r="B167" s="4" t="s">
        <v>26</v>
      </c>
      <c r="C167" s="4" t="str">
        <f aca="false">IF(LEFT(E167,2)="S5","Spritz","Standard")</f>
        <v>Standard</v>
      </c>
      <c r="D167" s="4" t="n">
        <v>2</v>
      </c>
      <c r="E167" s="6" t="s">
        <v>29</v>
      </c>
      <c r="F167" s="1" t="s">
        <v>23</v>
      </c>
      <c r="G167" s="1" t="n">
        <v>287</v>
      </c>
      <c r="H167" s="1" t="n">
        <v>275.1</v>
      </c>
      <c r="I167" s="1" t="n">
        <v>23</v>
      </c>
      <c r="J167" s="1" t="n">
        <v>1</v>
      </c>
      <c r="K167" s="1" t="n">
        <v>0.100007</v>
      </c>
      <c r="L167" s="1" t="n">
        <v>0.02708</v>
      </c>
      <c r="M167" s="1" t="n">
        <v>27.07</v>
      </c>
      <c r="N167" s="1" t="n">
        <v>26.64</v>
      </c>
      <c r="O167" s="1" t="n">
        <v>4.803</v>
      </c>
      <c r="P167" s="1" t="n">
        <v>4.309</v>
      </c>
      <c r="Q167" s="1" t="n">
        <v>10.22</v>
      </c>
      <c r="R167" s="1" t="n">
        <v>-0.1795</v>
      </c>
      <c r="S167" s="1" t="n">
        <v>0.5</v>
      </c>
      <c r="T167" s="5" t="n">
        <v>4.536E-007</v>
      </c>
      <c r="U167" s="5" t="n">
        <v>3.334E-005</v>
      </c>
      <c r="V167" s="1" t="n">
        <v>2.595</v>
      </c>
    </row>
    <row r="168" customFormat="false" ht="12.8" hidden="false" customHeight="false" outlineLevel="0" collapsed="false">
      <c r="A168" s="1" t="n">
        <v>12</v>
      </c>
      <c r="B168" s="4" t="s">
        <v>26</v>
      </c>
      <c r="C168" s="4" t="str">
        <f aca="false">IF(LEFT(E168,2)="S5","Spritz","Standard")</f>
        <v>Standard</v>
      </c>
      <c r="D168" s="4" t="n">
        <v>2</v>
      </c>
      <c r="E168" s="6" t="s">
        <v>29</v>
      </c>
      <c r="F168" s="1" t="s">
        <v>23</v>
      </c>
      <c r="G168" s="1" t="n">
        <v>312</v>
      </c>
      <c r="H168" s="1" t="n">
        <v>300.2</v>
      </c>
      <c r="I168" s="1" t="n">
        <v>22.99</v>
      </c>
      <c r="J168" s="1" t="n">
        <v>1</v>
      </c>
      <c r="K168" s="1" t="n">
        <v>0.124882</v>
      </c>
      <c r="L168" s="1" t="n">
        <v>0.03337</v>
      </c>
      <c r="M168" s="1" t="n">
        <v>26.72</v>
      </c>
      <c r="N168" s="1" t="n">
        <v>26.27</v>
      </c>
      <c r="O168" s="1" t="n">
        <v>4.892</v>
      </c>
      <c r="P168" s="1" t="n">
        <v>4.252</v>
      </c>
      <c r="Q168" s="1" t="n">
        <v>10.55</v>
      </c>
      <c r="R168" s="1" t="n">
        <v>-0.179</v>
      </c>
      <c r="S168" s="1" t="n">
        <v>0.5</v>
      </c>
      <c r="T168" s="5" t="n">
        <v>5.59E-007</v>
      </c>
      <c r="U168" s="5" t="n">
        <v>4.163E-005</v>
      </c>
      <c r="V168" s="1" t="n">
        <v>2.226</v>
      </c>
    </row>
    <row r="169" customFormat="false" ht="12.8" hidden="false" customHeight="false" outlineLevel="0" collapsed="false">
      <c r="A169" s="1" t="n">
        <v>13</v>
      </c>
      <c r="B169" s="4" t="s">
        <v>26</v>
      </c>
      <c r="C169" s="4" t="str">
        <f aca="false">IF(LEFT(E169,2)="S5","Spritz","Standard")</f>
        <v>Standard</v>
      </c>
      <c r="D169" s="4" t="n">
        <v>2</v>
      </c>
      <c r="E169" s="6" t="s">
        <v>29</v>
      </c>
      <c r="F169" s="1" t="s">
        <v>23</v>
      </c>
      <c r="G169" s="1" t="n">
        <v>337</v>
      </c>
      <c r="H169" s="1" t="n">
        <v>325.2</v>
      </c>
      <c r="I169" s="1" t="n">
        <v>23</v>
      </c>
      <c r="J169" s="1" t="n">
        <v>1</v>
      </c>
      <c r="K169" s="1" t="n">
        <v>0.158849</v>
      </c>
      <c r="L169" s="1" t="n">
        <v>0.04161</v>
      </c>
      <c r="M169" s="1" t="n">
        <v>26.2</v>
      </c>
      <c r="N169" s="1" t="n">
        <v>25.74</v>
      </c>
      <c r="O169" s="1" t="n">
        <v>4.843</v>
      </c>
      <c r="P169" s="1" t="n">
        <v>4.169</v>
      </c>
      <c r="Q169" s="1" t="n">
        <v>10.65</v>
      </c>
      <c r="R169" s="1" t="n">
        <v>-0.1792</v>
      </c>
      <c r="S169" s="1" t="n">
        <v>0.5</v>
      </c>
      <c r="T169" s="5" t="n">
        <v>6.971E-007</v>
      </c>
      <c r="U169" s="5" t="n">
        <v>5.295E-005</v>
      </c>
      <c r="V169" s="1" t="n">
        <v>1.589</v>
      </c>
    </row>
    <row r="170" customFormat="false" ht="12.8" hidden="false" customHeight="false" outlineLevel="0" collapsed="false">
      <c r="A170" s="1" t="n">
        <v>14</v>
      </c>
      <c r="B170" s="4" t="s">
        <v>26</v>
      </c>
      <c r="C170" s="4" t="str">
        <f aca="false">IF(LEFT(E170,2)="S5","Spritz","Standard")</f>
        <v>Standard</v>
      </c>
      <c r="D170" s="4" t="n">
        <v>2</v>
      </c>
      <c r="E170" s="6" t="s">
        <v>29</v>
      </c>
      <c r="F170" s="1" t="s">
        <v>23</v>
      </c>
      <c r="G170" s="1" t="n">
        <v>362</v>
      </c>
      <c r="H170" s="1" t="n">
        <v>350.2</v>
      </c>
      <c r="I170" s="1" t="n">
        <v>23</v>
      </c>
      <c r="J170" s="1" t="n">
        <v>1</v>
      </c>
      <c r="K170" s="1" t="n">
        <v>0.199728</v>
      </c>
      <c r="L170" s="1" t="n">
        <v>0.05083</v>
      </c>
      <c r="M170" s="1" t="n">
        <v>25.45</v>
      </c>
      <c r="N170" s="1" t="n">
        <v>25</v>
      </c>
      <c r="O170" s="1" t="n">
        <v>4.795</v>
      </c>
      <c r="P170" s="1" t="n">
        <v>4.051</v>
      </c>
      <c r="Q170" s="1" t="n">
        <v>10.86</v>
      </c>
      <c r="R170" s="1" t="n">
        <v>-0.1794</v>
      </c>
      <c r="S170" s="1" t="n">
        <v>0.5</v>
      </c>
      <c r="T170" s="5" t="n">
        <v>8.516E-007</v>
      </c>
      <c r="U170" s="5" t="n">
        <v>6.658E-005</v>
      </c>
      <c r="V170" s="1" t="n">
        <v>1.27</v>
      </c>
    </row>
    <row r="171" customFormat="false" ht="12.8" hidden="false" customHeight="false" outlineLevel="0" collapsed="false">
      <c r="A171" s="1" t="n">
        <v>15</v>
      </c>
      <c r="B171" s="4" t="s">
        <v>26</v>
      </c>
      <c r="C171" s="4" t="str">
        <f aca="false">IF(LEFT(E171,2)="S5","Spritz","Standard")</f>
        <v>Standard</v>
      </c>
      <c r="D171" s="4" t="n">
        <v>2</v>
      </c>
      <c r="E171" s="6" t="s">
        <v>29</v>
      </c>
      <c r="F171" s="1" t="s">
        <v>23</v>
      </c>
      <c r="G171" s="1" t="n">
        <v>387.1</v>
      </c>
      <c r="H171" s="1" t="n">
        <v>375.2</v>
      </c>
      <c r="I171" s="1" t="n">
        <v>23</v>
      </c>
      <c r="J171" s="1" t="n">
        <v>1</v>
      </c>
      <c r="K171" s="1" t="n">
        <v>0.250827</v>
      </c>
      <c r="L171" s="1" t="n">
        <v>0.06198</v>
      </c>
      <c r="M171" s="1" t="n">
        <v>24.71</v>
      </c>
      <c r="N171" s="1" t="n">
        <v>24.23</v>
      </c>
      <c r="O171" s="1" t="n">
        <v>4.826</v>
      </c>
      <c r="P171" s="1" t="n">
        <v>3.933</v>
      </c>
      <c r="Q171" s="1" t="n">
        <v>11.26</v>
      </c>
      <c r="R171" s="1" t="n">
        <v>-0.1789</v>
      </c>
      <c r="S171" s="1" t="n">
        <v>0.5</v>
      </c>
      <c r="T171" s="5" t="n">
        <v>1.038E-006</v>
      </c>
      <c r="U171" s="5" t="n">
        <v>8.361E-005</v>
      </c>
      <c r="V171" s="1" t="n">
        <v>0.885</v>
      </c>
    </row>
    <row r="172" customFormat="false" ht="12.8" hidden="false" customHeight="false" outlineLevel="0" collapsed="false">
      <c r="A172" s="1" t="n">
        <v>16</v>
      </c>
      <c r="B172" s="4" t="s">
        <v>26</v>
      </c>
      <c r="C172" s="4" t="str">
        <f aca="false">IF(LEFT(E172,2)="S5","Spritz","Standard")</f>
        <v>Standard</v>
      </c>
      <c r="D172" s="4" t="n">
        <v>2</v>
      </c>
      <c r="E172" s="6" t="s">
        <v>29</v>
      </c>
      <c r="F172" s="1" t="s">
        <v>23</v>
      </c>
      <c r="G172" s="1" t="n">
        <v>412.1</v>
      </c>
      <c r="H172" s="1" t="n">
        <v>400.2</v>
      </c>
      <c r="I172" s="1" t="n">
        <v>23</v>
      </c>
      <c r="J172" s="1" t="n">
        <v>1</v>
      </c>
      <c r="K172" s="1" t="n">
        <v>0.317119</v>
      </c>
      <c r="L172" s="1" t="n">
        <v>0.07555</v>
      </c>
      <c r="M172" s="1" t="n">
        <v>23.82</v>
      </c>
      <c r="N172" s="1" t="n">
        <v>23.31</v>
      </c>
      <c r="O172" s="1" t="n">
        <v>4.905</v>
      </c>
      <c r="P172" s="1" t="n">
        <v>3.791</v>
      </c>
      <c r="Q172" s="1" t="n">
        <v>11.88</v>
      </c>
      <c r="R172" s="1" t="n">
        <v>-0.1794</v>
      </c>
      <c r="S172" s="1" t="n">
        <v>0.5</v>
      </c>
      <c r="T172" s="5" t="n">
        <v>1.266E-006</v>
      </c>
      <c r="U172" s="5" t="n">
        <v>0.0001057</v>
      </c>
      <c r="V172" s="1" t="n">
        <v>0.8034</v>
      </c>
    </row>
    <row r="173" customFormat="false" ht="12.8" hidden="false" customHeight="false" outlineLevel="0" collapsed="false">
      <c r="A173" s="1" t="n">
        <v>17</v>
      </c>
      <c r="B173" s="4" t="s">
        <v>26</v>
      </c>
      <c r="C173" s="4" t="str">
        <f aca="false">IF(LEFT(E173,2)="S5","Spritz","Standard")</f>
        <v>Standard</v>
      </c>
      <c r="D173" s="4" t="n">
        <v>2</v>
      </c>
      <c r="E173" s="6" t="s">
        <v>29</v>
      </c>
      <c r="F173" s="1" t="s">
        <v>23</v>
      </c>
      <c r="G173" s="1" t="n">
        <v>437.1</v>
      </c>
      <c r="H173" s="1" t="n">
        <v>425.2</v>
      </c>
      <c r="I173" s="1" t="n">
        <v>23</v>
      </c>
      <c r="J173" s="1" t="n">
        <v>1</v>
      </c>
      <c r="K173" s="1" t="n">
        <v>0.397558</v>
      </c>
      <c r="L173" s="1" t="n">
        <v>0.09086</v>
      </c>
      <c r="M173" s="1" t="n">
        <v>22.85</v>
      </c>
      <c r="N173" s="1" t="n">
        <v>22.3</v>
      </c>
      <c r="O173" s="1" t="n">
        <v>4.989</v>
      </c>
      <c r="P173" s="1" t="n">
        <v>3.637</v>
      </c>
      <c r="Q173" s="1" t="n">
        <v>12.61</v>
      </c>
      <c r="R173" s="1" t="n">
        <v>-0.1793</v>
      </c>
      <c r="S173" s="1" t="n">
        <v>0.5</v>
      </c>
      <c r="T173" s="5" t="n">
        <v>1.522E-006</v>
      </c>
      <c r="U173" s="5" t="n">
        <v>0.0001325</v>
      </c>
      <c r="V173" s="1" t="n">
        <v>0.7355</v>
      </c>
    </row>
    <row r="174" customFormat="false" ht="12.8" hidden="false" customHeight="false" outlineLevel="0" collapsed="false">
      <c r="A174" s="1" t="n">
        <v>18</v>
      </c>
      <c r="B174" s="4" t="s">
        <v>26</v>
      </c>
      <c r="C174" s="4" t="str">
        <f aca="false">IF(LEFT(E174,2)="S5","Spritz","Standard")</f>
        <v>Standard</v>
      </c>
      <c r="D174" s="4" t="n">
        <v>2</v>
      </c>
      <c r="E174" s="6" t="s">
        <v>29</v>
      </c>
      <c r="F174" s="1" t="s">
        <v>23</v>
      </c>
      <c r="G174" s="1" t="n">
        <v>462.1</v>
      </c>
      <c r="H174" s="1" t="n">
        <v>450.3</v>
      </c>
      <c r="I174" s="1" t="n">
        <v>23</v>
      </c>
      <c r="J174" s="1" t="n">
        <v>1</v>
      </c>
      <c r="K174" s="1" t="n">
        <v>0.500989</v>
      </c>
      <c r="L174" s="1" t="n">
        <v>0.1089</v>
      </c>
      <c r="M174" s="1" t="n">
        <v>21.74</v>
      </c>
      <c r="N174" s="1" t="n">
        <v>21.13</v>
      </c>
      <c r="O174" s="1" t="n">
        <v>5.096</v>
      </c>
      <c r="P174" s="1" t="n">
        <v>3.46</v>
      </c>
      <c r="Q174" s="1" t="n">
        <v>13.56</v>
      </c>
      <c r="R174" s="1" t="n">
        <v>-0.1795</v>
      </c>
      <c r="S174" s="1" t="n">
        <v>0.5</v>
      </c>
      <c r="T174" s="5" t="n">
        <v>1.825E-006</v>
      </c>
      <c r="U174" s="5" t="n">
        <v>0.000167</v>
      </c>
      <c r="V174" s="1" t="n">
        <v>0.8935</v>
      </c>
    </row>
    <row r="175" customFormat="false" ht="12.8" hidden="false" customHeight="false" outlineLevel="0" collapsed="false">
      <c r="A175" s="1" t="n">
        <v>19</v>
      </c>
      <c r="B175" s="4" t="s">
        <v>26</v>
      </c>
      <c r="C175" s="4" t="str">
        <f aca="false">IF(LEFT(E175,2)="S5","Spritz","Standard")</f>
        <v>Standard</v>
      </c>
      <c r="D175" s="4" t="n">
        <v>2</v>
      </c>
      <c r="E175" s="6" t="s">
        <v>29</v>
      </c>
      <c r="F175" s="1" t="s">
        <v>23</v>
      </c>
      <c r="G175" s="1" t="n">
        <v>487.1</v>
      </c>
      <c r="H175" s="1" t="n">
        <v>475.3</v>
      </c>
      <c r="I175" s="1" t="n">
        <v>23</v>
      </c>
      <c r="J175" s="1" t="n">
        <v>1</v>
      </c>
      <c r="K175" s="1" t="n">
        <v>0.632105</v>
      </c>
      <c r="L175" s="1" t="n">
        <v>0.1297</v>
      </c>
      <c r="M175" s="1" t="n">
        <v>20.51</v>
      </c>
      <c r="N175" s="1" t="n">
        <v>19.85</v>
      </c>
      <c r="O175" s="1" t="n">
        <v>5.188</v>
      </c>
      <c r="P175" s="1" t="n">
        <v>3.265</v>
      </c>
      <c r="Q175" s="1" t="n">
        <v>14.65</v>
      </c>
      <c r="R175" s="1" t="n">
        <v>-0.1793</v>
      </c>
      <c r="S175" s="1" t="n">
        <v>0.5</v>
      </c>
      <c r="T175" s="5" t="n">
        <v>2.172E-006</v>
      </c>
      <c r="U175" s="5" t="n">
        <v>0.0002107</v>
      </c>
      <c r="V175" s="1" t="n">
        <v>0.9349</v>
      </c>
    </row>
    <row r="176" customFormat="false" ht="12.8" hidden="false" customHeight="false" outlineLevel="0" collapsed="false">
      <c r="A176" s="1" t="n">
        <v>20</v>
      </c>
      <c r="B176" s="4" t="s">
        <v>26</v>
      </c>
      <c r="C176" s="4" t="str">
        <f aca="false">IF(LEFT(E176,2)="S5","Spritz","Standard")</f>
        <v>Standard</v>
      </c>
      <c r="D176" s="4" t="n">
        <v>2</v>
      </c>
      <c r="E176" s="6" t="s">
        <v>29</v>
      </c>
      <c r="F176" s="1" t="s">
        <v>23</v>
      </c>
      <c r="G176" s="1" t="n">
        <v>512.1</v>
      </c>
      <c r="H176" s="1" t="n">
        <v>500.3</v>
      </c>
      <c r="I176" s="1" t="n">
        <v>23</v>
      </c>
      <c r="J176" s="1" t="n">
        <v>1</v>
      </c>
      <c r="K176" s="1" t="n">
        <v>0.793944</v>
      </c>
      <c r="L176" s="1" t="n">
        <v>0.1527</v>
      </c>
      <c r="M176" s="1" t="n">
        <v>19.24</v>
      </c>
      <c r="N176" s="1" t="n">
        <v>18.51</v>
      </c>
      <c r="O176" s="1" t="n">
        <v>5.25</v>
      </c>
      <c r="P176" s="1" t="n">
        <v>3.062</v>
      </c>
      <c r="Q176" s="1" t="n">
        <v>15.84</v>
      </c>
      <c r="R176" s="1" t="n">
        <v>-0.1797</v>
      </c>
      <c r="S176" s="1" t="n">
        <v>0.5</v>
      </c>
      <c r="T176" s="5" t="n">
        <v>2.559E-006</v>
      </c>
      <c r="U176" s="5" t="n">
        <v>0.0002647</v>
      </c>
      <c r="V176" s="1" t="n">
        <v>1.171</v>
      </c>
    </row>
    <row r="177" customFormat="false" ht="12.8" hidden="false" customHeight="false" outlineLevel="0" collapsed="false">
      <c r="A177" s="1" t="n">
        <v>21</v>
      </c>
      <c r="B177" s="4" t="s">
        <v>26</v>
      </c>
      <c r="C177" s="4" t="str">
        <f aca="false">IF(LEFT(E177,2)="S5","Spritz","Standard")</f>
        <v>Standard</v>
      </c>
      <c r="D177" s="4" t="n">
        <v>2</v>
      </c>
      <c r="E177" s="6" t="s">
        <v>29</v>
      </c>
      <c r="F177" s="1" t="s">
        <v>23</v>
      </c>
      <c r="G177" s="1" t="n">
        <v>537.1</v>
      </c>
      <c r="H177" s="1" t="n">
        <v>525.3</v>
      </c>
      <c r="I177" s="1" t="n">
        <v>23</v>
      </c>
      <c r="J177" s="1" t="n">
        <v>1</v>
      </c>
      <c r="K177" s="1" t="n">
        <v>1.00165</v>
      </c>
      <c r="L177" s="1" t="n">
        <v>0.1789</v>
      </c>
      <c r="M177" s="1" t="n">
        <v>17.86</v>
      </c>
      <c r="N177" s="1" t="n">
        <v>17.06</v>
      </c>
      <c r="O177" s="1" t="n">
        <v>5.286</v>
      </c>
      <c r="P177" s="1" t="n">
        <v>2.842</v>
      </c>
      <c r="Q177" s="1" t="n">
        <v>17.22</v>
      </c>
      <c r="R177" s="1" t="n">
        <v>-0.1793</v>
      </c>
      <c r="S177" s="1" t="n">
        <v>0.5</v>
      </c>
      <c r="T177" s="5" t="n">
        <v>2.997E-006</v>
      </c>
      <c r="U177" s="5" t="n">
        <v>0.0003339</v>
      </c>
      <c r="V177" s="1" t="n">
        <v>1.294</v>
      </c>
    </row>
    <row r="178" customFormat="false" ht="12.8" hidden="false" customHeight="false" outlineLevel="0" collapsed="false">
      <c r="A178" s="1" t="n">
        <v>22</v>
      </c>
      <c r="B178" s="4" t="s">
        <v>26</v>
      </c>
      <c r="C178" s="4" t="str">
        <f aca="false">IF(LEFT(E178,2)="S5","Spritz","Standard")</f>
        <v>Standard</v>
      </c>
      <c r="D178" s="4" t="n">
        <v>2</v>
      </c>
      <c r="E178" s="6" t="s">
        <v>29</v>
      </c>
      <c r="F178" s="1" t="s">
        <v>23</v>
      </c>
      <c r="G178" s="1" t="n">
        <v>562.2</v>
      </c>
      <c r="H178" s="1" t="n">
        <v>550.3</v>
      </c>
      <c r="I178" s="1" t="n">
        <v>23</v>
      </c>
      <c r="J178" s="1" t="n">
        <v>1</v>
      </c>
      <c r="K178" s="1" t="n">
        <v>1.26025</v>
      </c>
      <c r="L178" s="1" t="n">
        <v>0.2072</v>
      </c>
      <c r="M178" s="1" t="n">
        <v>16.44</v>
      </c>
      <c r="N178" s="1" t="n">
        <v>15.58</v>
      </c>
      <c r="O178" s="1" t="n">
        <v>5.265</v>
      </c>
      <c r="P178" s="1" t="n">
        <v>2.617</v>
      </c>
      <c r="Q178" s="1" t="n">
        <v>18.67</v>
      </c>
      <c r="R178" s="1" t="n">
        <v>-0.1793</v>
      </c>
      <c r="S178" s="1" t="n">
        <v>0.5</v>
      </c>
      <c r="T178" s="5" t="n">
        <v>3.472E-006</v>
      </c>
      <c r="U178" s="5" t="n">
        <v>0.0004201</v>
      </c>
      <c r="V178" s="1" t="n">
        <v>1.553</v>
      </c>
    </row>
    <row r="179" customFormat="false" ht="12.8" hidden="false" customHeight="false" outlineLevel="0" collapsed="false">
      <c r="A179" s="1" t="n">
        <v>23</v>
      </c>
      <c r="B179" s="4" t="s">
        <v>26</v>
      </c>
      <c r="C179" s="4" t="str">
        <f aca="false">IF(LEFT(E179,2)="S5","Spritz","Standard")</f>
        <v>Standard</v>
      </c>
      <c r="D179" s="4" t="n">
        <v>2</v>
      </c>
      <c r="E179" s="6" t="s">
        <v>29</v>
      </c>
      <c r="F179" s="1" t="s">
        <v>23</v>
      </c>
      <c r="G179" s="1" t="n">
        <v>587.2</v>
      </c>
      <c r="H179" s="1" t="n">
        <v>575.3</v>
      </c>
      <c r="I179" s="1" t="n">
        <v>23</v>
      </c>
      <c r="J179" s="1" t="n">
        <v>1</v>
      </c>
      <c r="K179" s="1" t="n">
        <v>1.58592</v>
      </c>
      <c r="L179" s="1" t="n">
        <v>0.2374</v>
      </c>
      <c r="M179" s="1" t="n">
        <v>14.97</v>
      </c>
      <c r="N179" s="1" t="n">
        <v>14.04</v>
      </c>
      <c r="O179" s="1" t="n">
        <v>5.199</v>
      </c>
      <c r="P179" s="1" t="n">
        <v>2.382</v>
      </c>
      <c r="Q179" s="1" t="n">
        <v>20.33</v>
      </c>
      <c r="R179" s="1" t="n">
        <v>-0.1801</v>
      </c>
      <c r="S179" s="1" t="n">
        <v>0.5</v>
      </c>
      <c r="T179" s="5" t="n">
        <v>3.977E-006</v>
      </c>
      <c r="U179" s="5" t="n">
        <v>0.0005287</v>
      </c>
      <c r="V179" s="1" t="n">
        <v>1.832</v>
      </c>
    </row>
    <row r="180" customFormat="false" ht="12.8" hidden="false" customHeight="false" outlineLevel="0" collapsed="false">
      <c r="A180" s="1" t="n">
        <v>24</v>
      </c>
      <c r="B180" s="4" t="s">
        <v>26</v>
      </c>
      <c r="C180" s="4" t="str">
        <f aca="false">IF(LEFT(E180,2)="S5","Spritz","Standard")</f>
        <v>Standard</v>
      </c>
      <c r="D180" s="4" t="n">
        <v>2</v>
      </c>
      <c r="E180" s="6" t="s">
        <v>29</v>
      </c>
      <c r="F180" s="1" t="s">
        <v>23</v>
      </c>
      <c r="G180" s="1" t="n">
        <v>612.2</v>
      </c>
      <c r="H180" s="1" t="n">
        <v>600.3</v>
      </c>
      <c r="I180" s="1" t="n">
        <v>23</v>
      </c>
      <c r="J180" s="1" t="n">
        <v>1</v>
      </c>
      <c r="K180" s="1" t="n">
        <v>1.99726</v>
      </c>
      <c r="L180" s="1" t="n">
        <v>0.2697</v>
      </c>
      <c r="M180" s="1" t="n">
        <v>13.5</v>
      </c>
      <c r="N180" s="1" t="n">
        <v>12.5</v>
      </c>
      <c r="O180" s="1" t="n">
        <v>5.108</v>
      </c>
      <c r="P180" s="1" t="n">
        <v>2.149</v>
      </c>
      <c r="Q180" s="1" t="n">
        <v>22.23</v>
      </c>
      <c r="R180" s="1" t="n">
        <v>-0.1798</v>
      </c>
      <c r="S180" s="1" t="n">
        <v>0.5</v>
      </c>
      <c r="T180" s="5" t="n">
        <v>4.518E-006</v>
      </c>
      <c r="U180" s="5" t="n">
        <v>0.0006658</v>
      </c>
      <c r="V180" s="1" t="n">
        <v>2.246</v>
      </c>
    </row>
    <row r="181" customFormat="false" ht="12.8" hidden="false" customHeight="false" outlineLevel="0" collapsed="false">
      <c r="A181" s="1" t="n">
        <v>25</v>
      </c>
      <c r="B181" s="4" t="s">
        <v>26</v>
      </c>
      <c r="C181" s="4" t="str">
        <f aca="false">IF(LEFT(E181,2)="S5","Spritz","Standard")</f>
        <v>Standard</v>
      </c>
      <c r="D181" s="4" t="n">
        <v>2</v>
      </c>
      <c r="E181" s="6" t="s">
        <v>29</v>
      </c>
      <c r="F181" s="1" t="s">
        <v>23</v>
      </c>
      <c r="G181" s="1" t="n">
        <v>637.2</v>
      </c>
      <c r="H181" s="1" t="n">
        <v>625.4</v>
      </c>
      <c r="I181" s="1" t="n">
        <v>23</v>
      </c>
      <c r="J181" s="1" t="n">
        <v>1</v>
      </c>
      <c r="K181" s="1" t="n">
        <v>2.51499</v>
      </c>
      <c r="L181" s="1" t="n">
        <v>0.3015</v>
      </c>
      <c r="M181" s="1" t="n">
        <v>11.99</v>
      </c>
      <c r="N181" s="1" t="n">
        <v>10.91</v>
      </c>
      <c r="O181" s="1" t="n">
        <v>4.959</v>
      </c>
      <c r="P181" s="1" t="n">
        <v>1.908</v>
      </c>
      <c r="Q181" s="1" t="n">
        <v>24.44</v>
      </c>
      <c r="R181" s="1" t="n">
        <v>-0.1798</v>
      </c>
      <c r="S181" s="1" t="n">
        <v>0.5</v>
      </c>
      <c r="T181" s="5" t="n">
        <v>5.05E-006</v>
      </c>
      <c r="U181" s="5" t="n">
        <v>0.0008384</v>
      </c>
      <c r="V181" s="1" t="n">
        <v>2.949</v>
      </c>
    </row>
    <row r="182" customFormat="false" ht="12.8" hidden="false" customHeight="false" outlineLevel="0" collapsed="false">
      <c r="A182" s="1" t="n">
        <v>26</v>
      </c>
      <c r="B182" s="4" t="s">
        <v>26</v>
      </c>
      <c r="C182" s="4" t="str">
        <f aca="false">IF(LEFT(E182,2)="S5","Spritz","Standard")</f>
        <v>Standard</v>
      </c>
      <c r="D182" s="4" t="n">
        <v>2</v>
      </c>
      <c r="E182" s="6" t="s">
        <v>29</v>
      </c>
      <c r="F182" s="1" t="s">
        <v>23</v>
      </c>
      <c r="G182" s="1" t="n">
        <v>662.2</v>
      </c>
      <c r="H182" s="1" t="n">
        <v>650.4</v>
      </c>
      <c r="I182" s="1" t="n">
        <v>23</v>
      </c>
      <c r="J182" s="1" t="n">
        <v>1</v>
      </c>
      <c r="K182" s="1" t="n">
        <v>3.16656</v>
      </c>
      <c r="L182" s="1" t="n">
        <v>0.3328</v>
      </c>
      <c r="M182" s="1" t="n">
        <v>10.51</v>
      </c>
      <c r="N182" s="1" t="n">
        <v>9.385</v>
      </c>
      <c r="O182" s="1" t="n">
        <v>4.732</v>
      </c>
      <c r="P182" s="1" t="n">
        <v>1.673</v>
      </c>
      <c r="Q182" s="1" t="n">
        <v>26.76</v>
      </c>
      <c r="R182" s="1" t="n">
        <v>-0.1801</v>
      </c>
      <c r="S182" s="1" t="n">
        <v>0.5</v>
      </c>
      <c r="T182" s="5" t="n">
        <v>5.576E-006</v>
      </c>
      <c r="U182" s="5" t="n">
        <v>0.001056</v>
      </c>
      <c r="V182" s="1" t="n">
        <v>3.803</v>
      </c>
    </row>
    <row r="183" customFormat="false" ht="12.8" hidden="false" customHeight="false" outlineLevel="0" collapsed="false">
      <c r="A183" s="1" t="n">
        <v>27</v>
      </c>
      <c r="B183" s="4" t="s">
        <v>26</v>
      </c>
      <c r="C183" s="4" t="str">
        <f aca="false">IF(LEFT(E183,2)="S5","Spritz","Standard")</f>
        <v>Standard</v>
      </c>
      <c r="D183" s="4" t="n">
        <v>2</v>
      </c>
      <c r="E183" s="6" t="s">
        <v>29</v>
      </c>
      <c r="F183" s="1" t="s">
        <v>23</v>
      </c>
      <c r="G183" s="1" t="n">
        <v>687.2</v>
      </c>
      <c r="H183" s="1" t="n">
        <v>675.4</v>
      </c>
      <c r="I183" s="1" t="n">
        <v>23</v>
      </c>
      <c r="J183" s="1" t="n">
        <v>1</v>
      </c>
      <c r="K183" s="1" t="n">
        <v>3.98388</v>
      </c>
      <c r="L183" s="1" t="n">
        <v>0.3652</v>
      </c>
      <c r="M183" s="1" t="n">
        <v>9.167</v>
      </c>
      <c r="N183" s="1" t="n">
        <v>7.977</v>
      </c>
      <c r="O183" s="1" t="n">
        <v>4.515</v>
      </c>
      <c r="P183" s="1" t="n">
        <v>1.459</v>
      </c>
      <c r="Q183" s="1" t="n">
        <v>29.51</v>
      </c>
      <c r="R183" s="1" t="n">
        <v>-0.18</v>
      </c>
      <c r="S183" s="1" t="n">
        <v>0.5</v>
      </c>
      <c r="T183" s="5" t="n">
        <v>6.118E-006</v>
      </c>
      <c r="U183" s="5" t="n">
        <v>0.001328</v>
      </c>
      <c r="V183" s="1" t="n">
        <v>5.057</v>
      </c>
    </row>
    <row r="184" customFormat="false" ht="12.8" hidden="false" customHeight="false" outlineLevel="0" collapsed="false">
      <c r="A184" s="1" t="n">
        <v>28</v>
      </c>
      <c r="B184" s="4" t="s">
        <v>26</v>
      </c>
      <c r="C184" s="4" t="str">
        <f aca="false">IF(LEFT(E184,2)="S5","Spritz","Standard")</f>
        <v>Standard</v>
      </c>
      <c r="D184" s="4" t="n">
        <v>2</v>
      </c>
      <c r="E184" s="6" t="s">
        <v>29</v>
      </c>
      <c r="F184" s="1" t="s">
        <v>23</v>
      </c>
      <c r="G184" s="1" t="n">
        <v>712.2</v>
      </c>
      <c r="H184" s="1" t="n">
        <v>700.4</v>
      </c>
      <c r="I184" s="1" t="n">
        <v>23</v>
      </c>
      <c r="J184" s="1" t="n">
        <v>1</v>
      </c>
      <c r="K184" s="1" t="n">
        <v>5.01714</v>
      </c>
      <c r="L184" s="1" t="n">
        <v>0.3951</v>
      </c>
      <c r="M184" s="1" t="n">
        <v>7.874</v>
      </c>
      <c r="N184" s="1" t="n">
        <v>6.617</v>
      </c>
      <c r="O184" s="1" t="n">
        <v>4.268</v>
      </c>
      <c r="P184" s="1" t="n">
        <v>1.253</v>
      </c>
      <c r="Q184" s="1" t="n">
        <v>32.82</v>
      </c>
      <c r="R184" s="1" t="n">
        <v>-0.1806</v>
      </c>
      <c r="S184" s="1" t="n">
        <v>0.5</v>
      </c>
      <c r="T184" s="5" t="n">
        <v>6.618E-006</v>
      </c>
      <c r="U184" s="5" t="n">
        <v>0.001672</v>
      </c>
      <c r="V184" s="1" t="n">
        <v>6.011</v>
      </c>
    </row>
    <row r="185" customFormat="false" ht="12.8" hidden="false" customHeight="false" outlineLevel="0" collapsed="false">
      <c r="A185" s="1" t="n">
        <v>29</v>
      </c>
      <c r="B185" s="4" t="s">
        <v>26</v>
      </c>
      <c r="C185" s="4" t="str">
        <f aca="false">IF(LEFT(E185,2)="S5","Spritz","Standard")</f>
        <v>Standard</v>
      </c>
      <c r="D185" s="4" t="n">
        <v>2</v>
      </c>
      <c r="E185" s="6" t="s">
        <v>29</v>
      </c>
      <c r="F185" s="1" t="s">
        <v>23</v>
      </c>
      <c r="G185" s="1" t="n">
        <v>737.2</v>
      </c>
      <c r="H185" s="1" t="n">
        <v>725.4</v>
      </c>
      <c r="I185" s="1" t="n">
        <v>23</v>
      </c>
      <c r="J185" s="1" t="n">
        <v>1</v>
      </c>
      <c r="K185" s="1" t="n">
        <v>6.31517</v>
      </c>
      <c r="L185" s="1" t="n">
        <v>0.4202</v>
      </c>
      <c r="M185" s="1" t="n">
        <v>6.654</v>
      </c>
      <c r="N185" s="1" t="n">
        <v>5.355</v>
      </c>
      <c r="O185" s="1" t="n">
        <v>3.949</v>
      </c>
      <c r="P185" s="1" t="n">
        <v>1.059</v>
      </c>
      <c r="Q185" s="1" t="n">
        <v>36.41</v>
      </c>
      <c r="R185" s="1" t="n">
        <v>-0.1806</v>
      </c>
      <c r="S185" s="1" t="n">
        <v>0.5</v>
      </c>
      <c r="T185" s="5" t="n">
        <v>7.039E-006</v>
      </c>
      <c r="U185" s="5" t="n">
        <v>0.002105</v>
      </c>
      <c r="V185" s="1" t="n">
        <v>7.17</v>
      </c>
    </row>
    <row r="186" customFormat="false" ht="12.8" hidden="false" customHeight="false" outlineLevel="0" collapsed="false">
      <c r="A186" s="1" t="n">
        <v>30</v>
      </c>
      <c r="B186" s="4" t="s">
        <v>26</v>
      </c>
      <c r="C186" s="4" t="str">
        <f aca="false">IF(LEFT(E186,2)="S5","Spritz","Standard")</f>
        <v>Standard</v>
      </c>
      <c r="D186" s="4" t="n">
        <v>2</v>
      </c>
      <c r="E186" s="6" t="s">
        <v>29</v>
      </c>
      <c r="F186" s="1" t="s">
        <v>23</v>
      </c>
      <c r="G186" s="1" t="n">
        <v>762.3</v>
      </c>
      <c r="H186" s="1" t="n">
        <v>750.4</v>
      </c>
      <c r="I186" s="1" t="n">
        <v>23</v>
      </c>
      <c r="J186" s="1" t="n">
        <v>1</v>
      </c>
      <c r="K186" s="1" t="n">
        <v>7.95327</v>
      </c>
      <c r="L186" s="1" t="n">
        <v>0.4428</v>
      </c>
      <c r="M186" s="1" t="n">
        <v>5.568</v>
      </c>
      <c r="N186" s="1" t="n">
        <v>4.256</v>
      </c>
      <c r="O186" s="1" t="n">
        <v>3.59</v>
      </c>
      <c r="P186" s="1" t="n">
        <v>0.8861</v>
      </c>
      <c r="Q186" s="1" t="n">
        <v>40.15</v>
      </c>
      <c r="R186" s="1" t="n">
        <v>-0.1805</v>
      </c>
      <c r="S186" s="1" t="n">
        <v>0.5</v>
      </c>
      <c r="T186" s="5" t="n">
        <v>7.418E-006</v>
      </c>
      <c r="U186" s="5" t="n">
        <v>0.002651</v>
      </c>
      <c r="V186" s="1" t="n">
        <v>9.12</v>
      </c>
    </row>
    <row r="187" customFormat="false" ht="12.8" hidden="false" customHeight="false" outlineLevel="0" collapsed="false">
      <c r="A187" s="1" t="n">
        <v>31</v>
      </c>
      <c r="B187" s="4" t="s">
        <v>26</v>
      </c>
      <c r="C187" s="4" t="str">
        <f aca="false">IF(LEFT(E187,2)="S5","Spritz","Standard")</f>
        <v>Standard</v>
      </c>
      <c r="D187" s="4" t="n">
        <v>2</v>
      </c>
      <c r="E187" s="6" t="s">
        <v>29</v>
      </c>
      <c r="F187" s="1" t="s">
        <v>23</v>
      </c>
      <c r="G187" s="1" t="n">
        <v>787.3</v>
      </c>
      <c r="H187" s="1" t="n">
        <v>775.4</v>
      </c>
      <c r="I187" s="1" t="n">
        <v>23</v>
      </c>
      <c r="J187" s="1" t="n">
        <v>1</v>
      </c>
      <c r="K187" s="1" t="n">
        <v>10.0037</v>
      </c>
      <c r="L187" s="1" t="n">
        <v>0.4642</v>
      </c>
      <c r="M187" s="1" t="n">
        <v>4.64</v>
      </c>
      <c r="N187" s="1" t="n">
        <v>3.35</v>
      </c>
      <c r="O187" s="1" t="n">
        <v>3.21</v>
      </c>
      <c r="P187" s="1" t="n">
        <v>0.7385</v>
      </c>
      <c r="Q187" s="1" t="n">
        <v>43.77</v>
      </c>
      <c r="R187" s="1" t="n">
        <v>-0.1797</v>
      </c>
      <c r="S187" s="1" t="n">
        <v>0.5</v>
      </c>
      <c r="T187" s="5" t="n">
        <v>7.776E-006</v>
      </c>
      <c r="U187" s="5" t="n">
        <v>0.003335</v>
      </c>
      <c r="V187" s="1" t="n">
        <v>10.93</v>
      </c>
    </row>
    <row r="188" customFormat="false" ht="12.8" hidden="false" customHeight="false" outlineLevel="0" collapsed="false">
      <c r="A188" s="1" t="n">
        <v>1</v>
      </c>
      <c r="B188" s="4" t="s">
        <v>30</v>
      </c>
      <c r="C188" s="4" t="str">
        <f aca="false">IF(LEFT(E188,2)="S5","Spritz","Standard")</f>
        <v>Standard</v>
      </c>
      <c r="D188" s="4" t="n">
        <f aca="false">IF(RIGHT(E188,2)=".1",1,IF(RIGHT(E188,2)=".2",2,0))</f>
        <v>0</v>
      </c>
      <c r="E188" s="6" t="s">
        <v>31</v>
      </c>
      <c r="F188" s="1" t="s">
        <v>23</v>
      </c>
      <c r="G188" s="1" t="n">
        <v>41.6</v>
      </c>
      <c r="H188" s="1" t="n">
        <v>25</v>
      </c>
      <c r="I188" s="1" t="n">
        <v>23.02</v>
      </c>
      <c r="J188" s="1" t="n">
        <v>1</v>
      </c>
      <c r="K188" s="1" t="n">
        <v>0.010342</v>
      </c>
      <c r="L188" s="5" t="n">
        <v>0.001768</v>
      </c>
      <c r="M188" s="1" t="n">
        <v>17.09</v>
      </c>
      <c r="N188" s="1" t="n">
        <v>16.91</v>
      </c>
      <c r="O188" s="1" t="n">
        <v>2.493</v>
      </c>
      <c r="P188" s="1" t="n">
        <v>2.72</v>
      </c>
      <c r="Q188" s="1" t="n">
        <v>8.39</v>
      </c>
      <c r="R188" s="1" t="n">
        <v>-0.01976</v>
      </c>
      <c r="S188" s="1" t="n">
        <v>0.5</v>
      </c>
      <c r="T188" s="5" t="n">
        <v>2.961E-008</v>
      </c>
      <c r="U188" s="5" t="n">
        <v>3.447E-006</v>
      </c>
      <c r="V188" s="1" t="n">
        <v>4.021</v>
      </c>
    </row>
    <row r="189" customFormat="false" ht="12.8" hidden="false" customHeight="false" outlineLevel="0" collapsed="false">
      <c r="A189" s="1" t="n">
        <v>2</v>
      </c>
      <c r="B189" s="4" t="s">
        <v>30</v>
      </c>
      <c r="C189" s="4" t="str">
        <f aca="false">IF(LEFT(E189,2)="S5","Spritz","Standard")</f>
        <v>Standard</v>
      </c>
      <c r="D189" s="4" t="n">
        <f aca="false">IF(RIGHT(E189,2)=".1",1,IF(RIGHT(E189,2)=".2",2,0))</f>
        <v>0</v>
      </c>
      <c r="E189" s="6" t="s">
        <v>31</v>
      </c>
      <c r="F189" s="1" t="s">
        <v>23</v>
      </c>
      <c r="G189" s="1" t="n">
        <v>66.61</v>
      </c>
      <c r="H189" s="1" t="n">
        <v>50.01</v>
      </c>
      <c r="I189" s="1" t="n">
        <v>23.01</v>
      </c>
      <c r="J189" s="1" t="n">
        <v>1</v>
      </c>
      <c r="K189" s="1" t="n">
        <v>0.0118997</v>
      </c>
      <c r="L189" s="5" t="n">
        <v>0.002016</v>
      </c>
      <c r="M189" s="1" t="n">
        <v>16.94</v>
      </c>
      <c r="N189" s="1" t="n">
        <v>16.76</v>
      </c>
      <c r="O189" s="1" t="n">
        <v>2.497</v>
      </c>
      <c r="P189" s="1" t="n">
        <v>2.697</v>
      </c>
      <c r="Q189" s="1" t="n">
        <v>8.47</v>
      </c>
      <c r="R189" s="1" t="n">
        <v>-0.02086</v>
      </c>
      <c r="S189" s="1" t="n">
        <v>0.5</v>
      </c>
      <c r="T189" s="5" t="n">
        <v>3.378E-008</v>
      </c>
      <c r="U189" s="5" t="n">
        <v>3.967E-006</v>
      </c>
      <c r="V189" s="1" t="n">
        <v>2.036</v>
      </c>
    </row>
    <row r="190" customFormat="false" ht="12.8" hidden="false" customHeight="false" outlineLevel="0" collapsed="false">
      <c r="A190" s="1" t="n">
        <v>3</v>
      </c>
      <c r="B190" s="4" t="s">
        <v>30</v>
      </c>
      <c r="C190" s="4" t="str">
        <f aca="false">IF(LEFT(E190,2)="S5","Spritz","Standard")</f>
        <v>Standard</v>
      </c>
      <c r="D190" s="4" t="n">
        <f aca="false">IF(RIGHT(E190,2)=".1",1,IF(RIGHT(E190,2)=".2",2,0))</f>
        <v>0</v>
      </c>
      <c r="E190" s="6" t="s">
        <v>31</v>
      </c>
      <c r="F190" s="1" t="s">
        <v>23</v>
      </c>
      <c r="G190" s="1" t="n">
        <v>91.62</v>
      </c>
      <c r="H190" s="1" t="n">
        <v>75.02</v>
      </c>
      <c r="I190" s="1" t="n">
        <v>23.01</v>
      </c>
      <c r="J190" s="1" t="n">
        <v>1</v>
      </c>
      <c r="K190" s="1" t="n">
        <v>0.0156329</v>
      </c>
      <c r="L190" s="5" t="n">
        <v>0.002622</v>
      </c>
      <c r="M190" s="1" t="n">
        <v>16.77</v>
      </c>
      <c r="N190" s="1" t="n">
        <v>16.46</v>
      </c>
      <c r="O190" s="1" t="n">
        <v>3.192</v>
      </c>
      <c r="P190" s="1" t="n">
        <v>2.669</v>
      </c>
      <c r="Q190" s="1" t="n">
        <v>10.97</v>
      </c>
      <c r="R190" s="1" t="n">
        <v>-0.02001</v>
      </c>
      <c r="S190" s="1" t="n">
        <v>0.5</v>
      </c>
      <c r="T190" s="5" t="n">
        <v>4.392E-008</v>
      </c>
      <c r="U190" s="5" t="n">
        <v>5.211E-006</v>
      </c>
      <c r="V190" s="1" t="n">
        <v>3.091</v>
      </c>
    </row>
    <row r="191" customFormat="false" ht="12.8" hidden="false" customHeight="false" outlineLevel="0" collapsed="false">
      <c r="A191" s="1" t="n">
        <v>4</v>
      </c>
      <c r="B191" s="4" t="s">
        <v>30</v>
      </c>
      <c r="C191" s="4" t="str">
        <f aca="false">IF(LEFT(E191,2)="S5","Spritz","Standard")</f>
        <v>Standard</v>
      </c>
      <c r="D191" s="4" t="n">
        <f aca="false">IF(RIGHT(E191,2)=".1",1,IF(RIGHT(E191,2)=".2",2,0))</f>
        <v>0</v>
      </c>
      <c r="E191" s="6" t="s">
        <v>31</v>
      </c>
      <c r="F191" s="1" t="s">
        <v>23</v>
      </c>
      <c r="G191" s="1" t="n">
        <v>116.6</v>
      </c>
      <c r="H191" s="1" t="n">
        <v>100</v>
      </c>
      <c r="I191" s="1" t="n">
        <v>23.01</v>
      </c>
      <c r="J191" s="1" t="n">
        <v>1</v>
      </c>
      <c r="K191" s="1" t="n">
        <v>0.0207537</v>
      </c>
      <c r="L191" s="5" t="n">
        <v>0.003437</v>
      </c>
      <c r="M191" s="1" t="n">
        <v>16.56</v>
      </c>
      <c r="N191" s="1" t="n">
        <v>16.28</v>
      </c>
      <c r="O191" s="1" t="n">
        <v>3.015</v>
      </c>
      <c r="P191" s="1" t="n">
        <v>2.636</v>
      </c>
      <c r="Q191" s="1" t="n">
        <v>10.49</v>
      </c>
      <c r="R191" s="1" t="n">
        <v>-0.02028</v>
      </c>
      <c r="S191" s="1" t="n">
        <v>0.5</v>
      </c>
      <c r="T191" s="5" t="n">
        <v>5.758E-008</v>
      </c>
      <c r="U191" s="5" t="n">
        <v>6.918E-006</v>
      </c>
      <c r="V191" s="1" t="n">
        <v>1.357</v>
      </c>
    </row>
    <row r="192" customFormat="false" ht="12.8" hidden="false" customHeight="false" outlineLevel="0" collapsed="false">
      <c r="A192" s="1" t="n">
        <v>5</v>
      </c>
      <c r="B192" s="4" t="s">
        <v>30</v>
      </c>
      <c r="C192" s="4" t="str">
        <f aca="false">IF(LEFT(E192,2)="S5","Spritz","Standard")</f>
        <v>Standard</v>
      </c>
      <c r="D192" s="4" t="n">
        <f aca="false">IF(RIGHT(E192,2)=".1",1,IF(RIGHT(E192,2)=".2",2,0))</f>
        <v>0</v>
      </c>
      <c r="E192" s="6" t="s">
        <v>31</v>
      </c>
      <c r="F192" s="1" t="s">
        <v>23</v>
      </c>
      <c r="G192" s="1" t="n">
        <v>141.7</v>
      </c>
      <c r="H192" s="1" t="n">
        <v>125.1</v>
      </c>
      <c r="I192" s="1" t="n">
        <v>23</v>
      </c>
      <c r="J192" s="1" t="n">
        <v>1</v>
      </c>
      <c r="K192" s="1" t="n">
        <v>0.0253426</v>
      </c>
      <c r="L192" s="5" t="n">
        <v>0.004181</v>
      </c>
      <c r="M192" s="1" t="n">
        <v>16.5</v>
      </c>
      <c r="N192" s="1" t="n">
        <v>16.22</v>
      </c>
      <c r="O192" s="1" t="n">
        <v>3.022</v>
      </c>
      <c r="P192" s="1" t="n">
        <v>2.626</v>
      </c>
      <c r="Q192" s="1" t="n">
        <v>10.55</v>
      </c>
      <c r="R192" s="1" t="n">
        <v>-0.0205</v>
      </c>
      <c r="S192" s="1" t="n">
        <v>0.5</v>
      </c>
      <c r="T192" s="5" t="n">
        <v>7.005E-008</v>
      </c>
      <c r="U192" s="5" t="n">
        <v>8.448E-006</v>
      </c>
      <c r="V192" s="1" t="n">
        <v>1.766</v>
      </c>
    </row>
    <row r="193" customFormat="false" ht="12.8" hidden="false" customHeight="false" outlineLevel="0" collapsed="false">
      <c r="A193" s="1" t="n">
        <v>6</v>
      </c>
      <c r="B193" s="4" t="s">
        <v>30</v>
      </c>
      <c r="C193" s="4" t="str">
        <f aca="false">IF(LEFT(E193,2)="S5","Spritz","Standard")</f>
        <v>Standard</v>
      </c>
      <c r="D193" s="4" t="n">
        <f aca="false">IF(RIGHT(E193,2)=".1",1,IF(RIGHT(E193,2)=".2",2,0))</f>
        <v>0</v>
      </c>
      <c r="E193" s="6" t="s">
        <v>31</v>
      </c>
      <c r="F193" s="1" t="s">
        <v>23</v>
      </c>
      <c r="G193" s="1" t="n">
        <v>166.7</v>
      </c>
      <c r="H193" s="1" t="n">
        <v>150.1</v>
      </c>
      <c r="I193" s="1" t="n">
        <v>23</v>
      </c>
      <c r="J193" s="1" t="n">
        <v>1</v>
      </c>
      <c r="K193" s="1" t="n">
        <v>0.0305317</v>
      </c>
      <c r="L193" s="5" t="n">
        <v>0.005016</v>
      </c>
      <c r="M193" s="1" t="n">
        <v>16.43</v>
      </c>
      <c r="N193" s="1" t="n">
        <v>16.18</v>
      </c>
      <c r="O193" s="1" t="n">
        <v>2.871</v>
      </c>
      <c r="P193" s="1" t="n">
        <v>2.615</v>
      </c>
      <c r="Q193" s="1" t="n">
        <v>10.07</v>
      </c>
      <c r="R193" s="1" t="n">
        <v>-0.02096</v>
      </c>
      <c r="S193" s="1" t="n">
        <v>0.5</v>
      </c>
      <c r="T193" s="5" t="n">
        <v>8.404E-008</v>
      </c>
      <c r="U193" s="5" t="n">
        <v>1.018E-005</v>
      </c>
      <c r="V193" s="1" t="n">
        <v>1.11</v>
      </c>
    </row>
    <row r="194" customFormat="false" ht="12.8" hidden="false" customHeight="false" outlineLevel="0" collapsed="false">
      <c r="A194" s="1" t="n">
        <v>7</v>
      </c>
      <c r="B194" s="4" t="s">
        <v>30</v>
      </c>
      <c r="C194" s="4" t="str">
        <f aca="false">IF(LEFT(E194,2)="S5","Spritz","Standard")</f>
        <v>Standard</v>
      </c>
      <c r="D194" s="4" t="n">
        <f aca="false">IF(RIGHT(E194,2)=".1",1,IF(RIGHT(E194,2)=".2",2,0))</f>
        <v>0</v>
      </c>
      <c r="E194" s="6" t="s">
        <v>31</v>
      </c>
      <c r="F194" s="1" t="s">
        <v>23</v>
      </c>
      <c r="G194" s="1" t="n">
        <v>191.7</v>
      </c>
      <c r="H194" s="1" t="n">
        <v>175.1</v>
      </c>
      <c r="I194" s="1" t="n">
        <v>23</v>
      </c>
      <c r="J194" s="1" t="n">
        <v>1</v>
      </c>
      <c r="K194" s="1" t="n">
        <v>0.0400202</v>
      </c>
      <c r="L194" s="5" t="n">
        <v>0.006499</v>
      </c>
      <c r="M194" s="1" t="n">
        <v>16.24</v>
      </c>
      <c r="N194" s="1" t="n">
        <v>15.96</v>
      </c>
      <c r="O194" s="1" t="n">
        <v>3.015</v>
      </c>
      <c r="P194" s="1" t="n">
        <v>2.585</v>
      </c>
      <c r="Q194" s="1" t="n">
        <v>10.7</v>
      </c>
      <c r="R194" s="1" t="n">
        <v>-0.02149</v>
      </c>
      <c r="S194" s="1" t="n">
        <v>0.5</v>
      </c>
      <c r="T194" s="5" t="n">
        <v>1.089E-007</v>
      </c>
      <c r="U194" s="5" t="n">
        <v>1.334E-005</v>
      </c>
      <c r="V194" s="1" t="n">
        <v>1.482</v>
      </c>
    </row>
    <row r="195" customFormat="false" ht="12.8" hidden="false" customHeight="false" outlineLevel="0" collapsed="false">
      <c r="A195" s="1" t="n">
        <v>8</v>
      </c>
      <c r="B195" s="4" t="s">
        <v>30</v>
      </c>
      <c r="C195" s="4" t="str">
        <f aca="false">IF(LEFT(E195,2)="S5","Spritz","Standard")</f>
        <v>Standard</v>
      </c>
      <c r="D195" s="4" t="n">
        <f aca="false">IF(RIGHT(E195,2)=".1",1,IF(RIGHT(E195,2)=".2",2,0))</f>
        <v>0</v>
      </c>
      <c r="E195" s="6" t="s">
        <v>31</v>
      </c>
      <c r="F195" s="1" t="s">
        <v>23</v>
      </c>
      <c r="G195" s="1" t="n">
        <v>216.7</v>
      </c>
      <c r="H195" s="1" t="n">
        <v>200.1</v>
      </c>
      <c r="I195" s="1" t="n">
        <v>23</v>
      </c>
      <c r="J195" s="1" t="n">
        <v>1</v>
      </c>
      <c r="K195" s="1" t="n">
        <v>0.0511756</v>
      </c>
      <c r="L195" s="5" t="n">
        <v>0.008255</v>
      </c>
      <c r="M195" s="1" t="n">
        <v>16.13</v>
      </c>
      <c r="N195" s="1" t="n">
        <v>15.85</v>
      </c>
      <c r="O195" s="1" t="n">
        <v>3.019</v>
      </c>
      <c r="P195" s="1" t="n">
        <v>2.567</v>
      </c>
      <c r="Q195" s="1" t="n">
        <v>10.79</v>
      </c>
      <c r="R195" s="1" t="n">
        <v>-0.02098</v>
      </c>
      <c r="S195" s="1" t="n">
        <v>0.5</v>
      </c>
      <c r="T195" s="5" t="n">
        <v>1.383E-007</v>
      </c>
      <c r="U195" s="5" t="n">
        <v>1.706E-005</v>
      </c>
      <c r="V195" s="1" t="n">
        <v>0.8938</v>
      </c>
    </row>
    <row r="196" customFormat="false" ht="12.8" hidden="false" customHeight="false" outlineLevel="0" collapsed="false">
      <c r="A196" s="1" t="n">
        <v>9</v>
      </c>
      <c r="B196" s="4" t="s">
        <v>30</v>
      </c>
      <c r="C196" s="4" t="str">
        <f aca="false">IF(LEFT(E196,2)="S5","Spritz","Standard")</f>
        <v>Standard</v>
      </c>
      <c r="D196" s="4" t="n">
        <f aca="false">IF(RIGHT(E196,2)=".1",1,IF(RIGHT(E196,2)=".2",2,0))</f>
        <v>0</v>
      </c>
      <c r="E196" s="6" t="s">
        <v>31</v>
      </c>
      <c r="F196" s="1" t="s">
        <v>23</v>
      </c>
      <c r="G196" s="1" t="n">
        <v>241.7</v>
      </c>
      <c r="H196" s="1" t="n">
        <v>225.1</v>
      </c>
      <c r="I196" s="1" t="n">
        <v>23</v>
      </c>
      <c r="J196" s="1" t="n">
        <v>1</v>
      </c>
      <c r="K196" s="1" t="n">
        <v>0.0628921</v>
      </c>
      <c r="L196" s="5" t="n">
        <v>0.009995</v>
      </c>
      <c r="M196" s="1" t="n">
        <v>15.89</v>
      </c>
      <c r="N196" s="1" t="n">
        <v>15.61</v>
      </c>
      <c r="O196" s="1" t="n">
        <v>2.962</v>
      </c>
      <c r="P196" s="1" t="n">
        <v>2.529</v>
      </c>
      <c r="Q196" s="1" t="n">
        <v>10.74</v>
      </c>
      <c r="R196" s="1" t="n">
        <v>-0.02174</v>
      </c>
      <c r="S196" s="1" t="n">
        <v>0.5</v>
      </c>
      <c r="T196" s="5" t="n">
        <v>1.674E-007</v>
      </c>
      <c r="U196" s="5" t="n">
        <v>2.097E-005</v>
      </c>
      <c r="V196" s="1" t="n">
        <v>0.8268</v>
      </c>
    </row>
    <row r="197" customFormat="false" ht="12.8" hidden="false" customHeight="false" outlineLevel="0" collapsed="false">
      <c r="A197" s="1" t="n">
        <v>10</v>
      </c>
      <c r="B197" s="4" t="s">
        <v>30</v>
      </c>
      <c r="C197" s="4" t="str">
        <f aca="false">IF(LEFT(E197,2)="S5","Spritz","Standard")</f>
        <v>Standard</v>
      </c>
      <c r="D197" s="4" t="n">
        <f aca="false">IF(RIGHT(E197,2)=".1",1,IF(RIGHT(E197,2)=".2",2,0))</f>
        <v>0</v>
      </c>
      <c r="E197" s="6" t="s">
        <v>31</v>
      </c>
      <c r="F197" s="1" t="s">
        <v>23</v>
      </c>
      <c r="G197" s="1" t="n">
        <v>266.7</v>
      </c>
      <c r="H197" s="1" t="n">
        <v>250.1</v>
      </c>
      <c r="I197" s="1" t="n">
        <v>23</v>
      </c>
      <c r="J197" s="1" t="n">
        <v>1</v>
      </c>
      <c r="K197" s="1" t="n">
        <v>0.0789927</v>
      </c>
      <c r="L197" s="1" t="n">
        <v>0.01242</v>
      </c>
      <c r="M197" s="1" t="n">
        <v>15.72</v>
      </c>
      <c r="N197" s="1" t="n">
        <v>15.42</v>
      </c>
      <c r="O197" s="1" t="n">
        <v>3.062</v>
      </c>
      <c r="P197" s="1" t="n">
        <v>2.503</v>
      </c>
      <c r="Q197" s="1" t="n">
        <v>11.23</v>
      </c>
      <c r="R197" s="1" t="n">
        <v>-0.02207</v>
      </c>
      <c r="S197" s="1" t="n">
        <v>0.5</v>
      </c>
      <c r="T197" s="5" t="n">
        <v>2.081E-007</v>
      </c>
      <c r="U197" s="5" t="n">
        <v>2.633E-005</v>
      </c>
      <c r="V197" s="1" t="n">
        <v>1.018</v>
      </c>
    </row>
    <row r="198" customFormat="false" ht="12.8" hidden="false" customHeight="false" outlineLevel="0" collapsed="false">
      <c r="A198" s="1" t="n">
        <v>11</v>
      </c>
      <c r="B198" s="4" t="s">
        <v>30</v>
      </c>
      <c r="C198" s="4" t="str">
        <f aca="false">IF(LEFT(E198,2)="S5","Spritz","Standard")</f>
        <v>Standard</v>
      </c>
      <c r="D198" s="4" t="n">
        <f aca="false">IF(RIGHT(E198,2)=".1",1,IF(RIGHT(E198,2)=".2",2,0))</f>
        <v>0</v>
      </c>
      <c r="E198" s="6" t="s">
        <v>31</v>
      </c>
      <c r="F198" s="1" t="s">
        <v>23</v>
      </c>
      <c r="G198" s="1" t="n">
        <v>291.7</v>
      </c>
      <c r="H198" s="1" t="n">
        <v>275.1</v>
      </c>
      <c r="I198" s="1" t="n">
        <v>23</v>
      </c>
      <c r="J198" s="1" t="n">
        <v>1</v>
      </c>
      <c r="K198" s="1" t="n">
        <v>0.100585</v>
      </c>
      <c r="L198" s="1" t="n">
        <v>0.01545</v>
      </c>
      <c r="M198" s="1" t="n">
        <v>15.36</v>
      </c>
      <c r="N198" s="1" t="n">
        <v>15.06</v>
      </c>
      <c r="O198" s="1" t="n">
        <v>3.012</v>
      </c>
      <c r="P198" s="1" t="n">
        <v>2.445</v>
      </c>
      <c r="Q198" s="1" t="n">
        <v>11.31</v>
      </c>
      <c r="R198" s="1" t="n">
        <v>-0.02301</v>
      </c>
      <c r="S198" s="1" t="n">
        <v>0.5</v>
      </c>
      <c r="T198" s="5" t="n">
        <v>2.588E-007</v>
      </c>
      <c r="U198" s="5" t="n">
        <v>3.353E-005</v>
      </c>
      <c r="V198" s="1" t="n">
        <v>1.469</v>
      </c>
    </row>
    <row r="199" customFormat="false" ht="12.8" hidden="false" customHeight="false" outlineLevel="0" collapsed="false">
      <c r="A199" s="1" t="n">
        <v>12</v>
      </c>
      <c r="B199" s="4" t="s">
        <v>30</v>
      </c>
      <c r="C199" s="4" t="str">
        <f aca="false">IF(LEFT(E199,2)="S5","Spritz","Standard")</f>
        <v>Standard</v>
      </c>
      <c r="D199" s="4" t="n">
        <f aca="false">IF(RIGHT(E199,2)=".1",1,IF(RIGHT(E199,2)=".2",2,0))</f>
        <v>0</v>
      </c>
      <c r="E199" s="6" t="s">
        <v>31</v>
      </c>
      <c r="F199" s="1" t="s">
        <v>23</v>
      </c>
      <c r="G199" s="1" t="n">
        <v>316.8</v>
      </c>
      <c r="H199" s="1" t="n">
        <v>300.2</v>
      </c>
      <c r="I199" s="1" t="n">
        <v>23</v>
      </c>
      <c r="J199" s="1" t="n">
        <v>1</v>
      </c>
      <c r="K199" s="1" t="n">
        <v>0.125624</v>
      </c>
      <c r="L199" s="1" t="n">
        <v>0.01887</v>
      </c>
      <c r="M199" s="1" t="n">
        <v>15.02</v>
      </c>
      <c r="N199" s="1" t="n">
        <v>14.71</v>
      </c>
      <c r="O199" s="1" t="n">
        <v>3.033</v>
      </c>
      <c r="P199" s="1" t="n">
        <v>2.39</v>
      </c>
      <c r="Q199" s="1" t="n">
        <v>11.65</v>
      </c>
      <c r="R199" s="1" t="n">
        <v>-0.02233</v>
      </c>
      <c r="S199" s="1" t="n">
        <v>0.5</v>
      </c>
      <c r="T199" s="5" t="n">
        <v>3.161E-007</v>
      </c>
      <c r="U199" s="5" t="n">
        <v>4.188E-005</v>
      </c>
      <c r="V199" s="1" t="n">
        <v>1.183</v>
      </c>
    </row>
    <row r="200" customFormat="false" ht="12.8" hidden="false" customHeight="false" outlineLevel="0" collapsed="false">
      <c r="A200" s="1" t="n">
        <v>13</v>
      </c>
      <c r="B200" s="4" t="s">
        <v>30</v>
      </c>
      <c r="C200" s="4" t="str">
        <f aca="false">IF(LEFT(E200,2)="S5","Spritz","Standard")</f>
        <v>Standard</v>
      </c>
      <c r="D200" s="4" t="n">
        <f aca="false">IF(RIGHT(E200,2)=".1",1,IF(RIGHT(E200,2)=".2",2,0))</f>
        <v>0</v>
      </c>
      <c r="E200" s="6" t="s">
        <v>31</v>
      </c>
      <c r="F200" s="1" t="s">
        <v>23</v>
      </c>
      <c r="G200" s="1" t="n">
        <v>341.8</v>
      </c>
      <c r="H200" s="1" t="n">
        <v>325.2</v>
      </c>
      <c r="I200" s="1" t="n">
        <v>23</v>
      </c>
      <c r="J200" s="1" t="n">
        <v>1</v>
      </c>
      <c r="K200" s="1" t="n">
        <v>0.157974</v>
      </c>
      <c r="L200" s="1" t="n">
        <v>0.02308</v>
      </c>
      <c r="M200" s="1" t="n">
        <v>14.61</v>
      </c>
      <c r="N200" s="1" t="n">
        <v>14.28</v>
      </c>
      <c r="O200" s="1" t="n">
        <v>3.062</v>
      </c>
      <c r="P200" s="1" t="n">
        <v>2.325</v>
      </c>
      <c r="Q200" s="1" t="n">
        <v>12.1</v>
      </c>
      <c r="R200" s="1" t="n">
        <v>-0.02189</v>
      </c>
      <c r="S200" s="1" t="n">
        <v>0.5</v>
      </c>
      <c r="T200" s="5" t="n">
        <v>3.866E-007</v>
      </c>
      <c r="U200" s="5" t="n">
        <v>5.266E-005</v>
      </c>
      <c r="V200" s="1" t="n">
        <v>1.026</v>
      </c>
    </row>
    <row r="201" customFormat="false" ht="12.8" hidden="false" customHeight="false" outlineLevel="0" collapsed="false">
      <c r="A201" s="1" t="n">
        <v>14</v>
      </c>
      <c r="B201" s="4" t="s">
        <v>30</v>
      </c>
      <c r="C201" s="4" t="str">
        <f aca="false">IF(LEFT(E201,2)="S5","Spritz","Standard")</f>
        <v>Standard</v>
      </c>
      <c r="D201" s="4" t="n">
        <f aca="false">IF(RIGHT(E201,2)=".1",1,IF(RIGHT(E201,2)=".2",2,0))</f>
        <v>0</v>
      </c>
      <c r="E201" s="6" t="s">
        <v>31</v>
      </c>
      <c r="F201" s="1" t="s">
        <v>23</v>
      </c>
      <c r="G201" s="1" t="n">
        <v>366.8</v>
      </c>
      <c r="H201" s="1" t="n">
        <v>350.2</v>
      </c>
      <c r="I201" s="1" t="n">
        <v>23</v>
      </c>
      <c r="J201" s="1" t="n">
        <v>1</v>
      </c>
      <c r="K201" s="1" t="n">
        <v>0.200838</v>
      </c>
      <c r="L201" s="1" t="n">
        <v>0.02831</v>
      </c>
      <c r="M201" s="1" t="n">
        <v>14.09</v>
      </c>
      <c r="N201" s="1" t="n">
        <v>13.76</v>
      </c>
      <c r="O201" s="1" t="n">
        <v>3.061</v>
      </c>
      <c r="P201" s="1" t="n">
        <v>2.243</v>
      </c>
      <c r="Q201" s="1" t="n">
        <v>12.54</v>
      </c>
      <c r="R201" s="1" t="n">
        <v>-0.02275</v>
      </c>
      <c r="S201" s="1" t="n">
        <v>0.5</v>
      </c>
      <c r="T201" s="5" t="n">
        <v>4.742E-007</v>
      </c>
      <c r="U201" s="5" t="n">
        <v>6.695E-005</v>
      </c>
      <c r="V201" s="1" t="n">
        <v>0.9518</v>
      </c>
    </row>
    <row r="202" customFormat="false" ht="12.8" hidden="false" customHeight="false" outlineLevel="0" collapsed="false">
      <c r="A202" s="1" t="n">
        <v>15</v>
      </c>
      <c r="B202" s="4" t="s">
        <v>30</v>
      </c>
      <c r="C202" s="4" t="str">
        <f aca="false">IF(LEFT(E202,2)="S5","Spritz","Standard")</f>
        <v>Standard</v>
      </c>
      <c r="D202" s="4" t="n">
        <f aca="false">IF(RIGHT(E202,2)=".1",1,IF(RIGHT(E202,2)=".2",2,0))</f>
        <v>0</v>
      </c>
      <c r="E202" s="6" t="s">
        <v>31</v>
      </c>
      <c r="F202" s="1" t="s">
        <v>23</v>
      </c>
      <c r="G202" s="1" t="n">
        <v>391.8</v>
      </c>
      <c r="H202" s="1" t="n">
        <v>375.2</v>
      </c>
      <c r="I202" s="1" t="n">
        <v>23</v>
      </c>
      <c r="J202" s="1" t="n">
        <v>1</v>
      </c>
      <c r="K202" s="1" t="n">
        <v>0.251103</v>
      </c>
      <c r="L202" s="1" t="n">
        <v>0.03399</v>
      </c>
      <c r="M202" s="1" t="n">
        <v>13.53</v>
      </c>
      <c r="N202" s="1" t="n">
        <v>13.18</v>
      </c>
      <c r="O202" s="1" t="n">
        <v>3.082</v>
      </c>
      <c r="P202" s="1" t="n">
        <v>2.154</v>
      </c>
      <c r="Q202" s="1" t="n">
        <v>13.16</v>
      </c>
      <c r="R202" s="1" t="n">
        <v>-0.02222</v>
      </c>
      <c r="S202" s="1" t="n">
        <v>0.5</v>
      </c>
      <c r="T202" s="5" t="n">
        <v>5.694E-007</v>
      </c>
      <c r="U202" s="5" t="n">
        <v>8.371E-005</v>
      </c>
      <c r="V202" s="1" t="n">
        <v>1.111</v>
      </c>
    </row>
    <row r="203" customFormat="false" ht="12.8" hidden="false" customHeight="false" outlineLevel="0" collapsed="false">
      <c r="A203" s="1" t="n">
        <v>16</v>
      </c>
      <c r="B203" s="4" t="s">
        <v>30</v>
      </c>
      <c r="C203" s="4" t="str">
        <f aca="false">IF(LEFT(E203,2)="S5","Spritz","Standard")</f>
        <v>Standard</v>
      </c>
      <c r="D203" s="4" t="n">
        <f aca="false">IF(RIGHT(E203,2)=".1",1,IF(RIGHT(E203,2)=".2",2,0))</f>
        <v>0</v>
      </c>
      <c r="E203" s="6" t="s">
        <v>31</v>
      </c>
      <c r="F203" s="1" t="s">
        <v>23</v>
      </c>
      <c r="G203" s="1" t="n">
        <v>416.8</v>
      </c>
      <c r="H203" s="1" t="n">
        <v>400.2</v>
      </c>
      <c r="I203" s="1" t="n">
        <v>23</v>
      </c>
      <c r="J203" s="1" t="n">
        <v>1</v>
      </c>
      <c r="K203" s="1" t="n">
        <v>0.315706</v>
      </c>
      <c r="L203" s="1" t="n">
        <v>0.04075</v>
      </c>
      <c r="M203" s="1" t="n">
        <v>12.91</v>
      </c>
      <c r="N203" s="1" t="n">
        <v>12.53</v>
      </c>
      <c r="O203" s="1" t="n">
        <v>3.08</v>
      </c>
      <c r="P203" s="1" t="n">
        <v>2.054</v>
      </c>
      <c r="Q203" s="1" t="n">
        <v>13.81</v>
      </c>
      <c r="R203" s="1" t="n">
        <v>-0.02262</v>
      </c>
      <c r="S203" s="1" t="n">
        <v>0.5</v>
      </c>
      <c r="T203" s="5" t="n">
        <v>6.827E-007</v>
      </c>
      <c r="U203" s="5" t="n">
        <v>0.0001052</v>
      </c>
      <c r="V203" s="1" t="n">
        <v>1.139</v>
      </c>
    </row>
    <row r="204" customFormat="false" ht="12.8" hidden="false" customHeight="false" outlineLevel="0" collapsed="false">
      <c r="A204" s="1" t="n">
        <v>17</v>
      </c>
      <c r="B204" s="4" t="s">
        <v>30</v>
      </c>
      <c r="C204" s="4" t="str">
        <f aca="false">IF(LEFT(E204,2)="S5","Spritz","Standard")</f>
        <v>Standard</v>
      </c>
      <c r="D204" s="4" t="n">
        <f aca="false">IF(RIGHT(E204,2)=".1",1,IF(RIGHT(E204,2)=".2",2,0))</f>
        <v>0</v>
      </c>
      <c r="E204" s="6" t="s">
        <v>31</v>
      </c>
      <c r="F204" s="1" t="s">
        <v>23</v>
      </c>
      <c r="G204" s="1" t="n">
        <v>441.8</v>
      </c>
      <c r="H204" s="1" t="n">
        <v>425.2</v>
      </c>
      <c r="I204" s="1" t="n">
        <v>23</v>
      </c>
      <c r="J204" s="1" t="n">
        <v>1</v>
      </c>
      <c r="K204" s="1" t="n">
        <v>0.399519</v>
      </c>
      <c r="L204" s="1" t="n">
        <v>0.04894</v>
      </c>
      <c r="M204" s="1" t="n">
        <v>12.25</v>
      </c>
      <c r="N204" s="1" t="n">
        <v>11.86</v>
      </c>
      <c r="O204" s="1" t="n">
        <v>3.054</v>
      </c>
      <c r="P204" s="1" t="n">
        <v>1.95</v>
      </c>
      <c r="Q204" s="1" t="n">
        <v>14.44</v>
      </c>
      <c r="R204" s="1" t="n">
        <v>-0.02268</v>
      </c>
      <c r="S204" s="1" t="n">
        <v>0.5</v>
      </c>
      <c r="T204" s="5" t="n">
        <v>8.199E-007</v>
      </c>
      <c r="U204" s="5" t="n">
        <v>0.0001332</v>
      </c>
      <c r="V204" s="1" t="n">
        <v>1.433</v>
      </c>
    </row>
    <row r="205" customFormat="false" ht="12.8" hidden="false" customHeight="false" outlineLevel="0" collapsed="false">
      <c r="A205" s="1" t="n">
        <v>18</v>
      </c>
      <c r="B205" s="4" t="s">
        <v>30</v>
      </c>
      <c r="C205" s="4" t="str">
        <f aca="false">IF(LEFT(E205,2)="S5","Spritz","Standard")</f>
        <v>Standard</v>
      </c>
      <c r="D205" s="4" t="n">
        <f aca="false">IF(RIGHT(E205,2)=".1",1,IF(RIGHT(E205,2)=".2",2,0))</f>
        <v>0</v>
      </c>
      <c r="E205" s="6" t="s">
        <v>31</v>
      </c>
      <c r="F205" s="1" t="s">
        <v>23</v>
      </c>
      <c r="G205" s="1" t="n">
        <v>466.8</v>
      </c>
      <c r="H205" s="1" t="n">
        <v>450.2</v>
      </c>
      <c r="I205" s="1" t="n">
        <v>23</v>
      </c>
      <c r="J205" s="1" t="n">
        <v>1</v>
      </c>
      <c r="K205" s="1" t="n">
        <v>0.501241</v>
      </c>
      <c r="L205" s="1" t="n">
        <v>0.05801</v>
      </c>
      <c r="M205" s="1" t="n">
        <v>11.57</v>
      </c>
      <c r="N205" s="1" t="n">
        <v>11.17</v>
      </c>
      <c r="O205" s="1" t="n">
        <v>3.014</v>
      </c>
      <c r="P205" s="1" t="n">
        <v>1.842</v>
      </c>
      <c r="Q205" s="1" t="n">
        <v>15.1</v>
      </c>
      <c r="R205" s="1" t="n">
        <v>-0.02303</v>
      </c>
      <c r="S205" s="1" t="n">
        <v>0.5</v>
      </c>
      <c r="T205" s="5" t="n">
        <v>9.718E-007</v>
      </c>
      <c r="U205" s="5" t="n">
        <v>0.0001671</v>
      </c>
      <c r="V205" s="1" t="n">
        <v>1.38</v>
      </c>
    </row>
    <row r="206" customFormat="false" ht="12.8" hidden="false" customHeight="false" outlineLevel="0" collapsed="false">
      <c r="A206" s="1" t="n">
        <v>19</v>
      </c>
      <c r="B206" s="4" t="s">
        <v>30</v>
      </c>
      <c r="C206" s="4" t="str">
        <f aca="false">IF(LEFT(E206,2)="S5","Spritz","Standard")</f>
        <v>Standard</v>
      </c>
      <c r="D206" s="4" t="n">
        <f aca="false">IF(RIGHT(E206,2)=".1",1,IF(RIGHT(E206,2)=".2",2,0))</f>
        <v>0</v>
      </c>
      <c r="E206" s="6" t="s">
        <v>31</v>
      </c>
      <c r="F206" s="1" t="s">
        <v>23</v>
      </c>
      <c r="G206" s="1" t="n">
        <v>491.8</v>
      </c>
      <c r="H206" s="1" t="n">
        <v>475.2</v>
      </c>
      <c r="I206" s="1" t="n">
        <v>23</v>
      </c>
      <c r="J206" s="1" t="n">
        <v>1</v>
      </c>
      <c r="K206" s="1" t="n">
        <v>0.631087</v>
      </c>
      <c r="L206" s="1" t="n">
        <v>0.06862</v>
      </c>
      <c r="M206" s="1" t="n">
        <v>10.87</v>
      </c>
      <c r="N206" s="1" t="n">
        <v>10.46</v>
      </c>
      <c r="O206" s="1" t="n">
        <v>2.976</v>
      </c>
      <c r="P206" s="1" t="n">
        <v>1.731</v>
      </c>
      <c r="Q206" s="1" t="n">
        <v>15.88</v>
      </c>
      <c r="R206" s="1" t="n">
        <v>-0.02376</v>
      </c>
      <c r="S206" s="1" t="n">
        <v>0.5</v>
      </c>
      <c r="T206" s="5" t="n">
        <v>1.15E-006</v>
      </c>
      <c r="U206" s="5" t="n">
        <v>0.0002104</v>
      </c>
      <c r="V206" s="1" t="n">
        <v>1.845</v>
      </c>
    </row>
    <row r="207" customFormat="false" ht="12.8" hidden="false" customHeight="false" outlineLevel="0" collapsed="false">
      <c r="A207" s="1" t="n">
        <v>20</v>
      </c>
      <c r="B207" s="4" t="s">
        <v>30</v>
      </c>
      <c r="C207" s="4" t="str">
        <f aca="false">IF(LEFT(E207,2)="S5","Spritz","Standard")</f>
        <v>Standard</v>
      </c>
      <c r="D207" s="4" t="n">
        <f aca="false">IF(RIGHT(E207,2)=".1",1,IF(RIGHT(E207,2)=".2",2,0))</f>
        <v>0</v>
      </c>
      <c r="E207" s="6" t="s">
        <v>31</v>
      </c>
      <c r="F207" s="1" t="s">
        <v>23</v>
      </c>
      <c r="G207" s="1" t="n">
        <v>517.6</v>
      </c>
      <c r="H207" s="1" t="n">
        <v>501</v>
      </c>
      <c r="I207" s="1" t="n">
        <v>23</v>
      </c>
      <c r="J207" s="1" t="n">
        <v>1</v>
      </c>
      <c r="K207" s="1" t="n">
        <v>0.795721</v>
      </c>
      <c r="L207" s="1" t="n">
        <v>0.08055</v>
      </c>
      <c r="M207" s="1" t="n">
        <v>10.12</v>
      </c>
      <c r="N207" s="1" t="n">
        <v>9.694</v>
      </c>
      <c r="O207" s="1" t="n">
        <v>2.918</v>
      </c>
      <c r="P207" s="1" t="n">
        <v>1.611</v>
      </c>
      <c r="Q207" s="1" t="n">
        <v>16.75</v>
      </c>
      <c r="R207" s="1" t="n">
        <v>-0.02319</v>
      </c>
      <c r="S207" s="1" t="n">
        <v>0.5</v>
      </c>
      <c r="T207" s="5" t="n">
        <v>1.35E-006</v>
      </c>
      <c r="U207" s="5" t="n">
        <v>0.0002653</v>
      </c>
      <c r="V207" s="1" t="n">
        <v>2.111</v>
      </c>
    </row>
    <row r="208" customFormat="false" ht="12.8" hidden="false" customHeight="false" outlineLevel="0" collapsed="false">
      <c r="A208" s="1" t="n">
        <v>21</v>
      </c>
      <c r="B208" s="4" t="s">
        <v>30</v>
      </c>
      <c r="C208" s="4" t="str">
        <f aca="false">IF(LEFT(E208,2)="S5","Spritz","Standard")</f>
        <v>Standard</v>
      </c>
      <c r="D208" s="4" t="n">
        <f aca="false">IF(RIGHT(E208,2)=".1",1,IF(RIGHT(E208,2)=".2",2,0))</f>
        <v>0</v>
      </c>
      <c r="E208" s="6" t="s">
        <v>31</v>
      </c>
      <c r="F208" s="1" t="s">
        <v>23</v>
      </c>
      <c r="G208" s="1" t="n">
        <v>542.6</v>
      </c>
      <c r="H208" s="1" t="n">
        <v>526</v>
      </c>
      <c r="I208" s="1" t="n">
        <v>23</v>
      </c>
      <c r="J208" s="1" t="n">
        <v>1</v>
      </c>
      <c r="K208" s="1" t="n">
        <v>1.00005</v>
      </c>
      <c r="L208" s="1" t="n">
        <v>0.09337</v>
      </c>
      <c r="M208" s="1" t="n">
        <v>9.337</v>
      </c>
      <c r="N208" s="1" t="n">
        <v>8.89</v>
      </c>
      <c r="O208" s="1" t="n">
        <v>2.851</v>
      </c>
      <c r="P208" s="1" t="n">
        <v>1.486</v>
      </c>
      <c r="Q208" s="1" t="n">
        <v>17.78</v>
      </c>
      <c r="R208" s="1" t="n">
        <v>-0.0241</v>
      </c>
      <c r="S208" s="1" t="n">
        <v>0.5</v>
      </c>
      <c r="T208" s="5" t="n">
        <v>1.564E-006</v>
      </c>
      <c r="U208" s="5" t="n">
        <v>0.0003334</v>
      </c>
      <c r="V208" s="1" t="n">
        <v>2.506</v>
      </c>
    </row>
    <row r="209" customFormat="false" ht="12.8" hidden="false" customHeight="false" outlineLevel="0" collapsed="false">
      <c r="A209" s="1" t="n">
        <v>22</v>
      </c>
      <c r="B209" s="4" t="s">
        <v>30</v>
      </c>
      <c r="C209" s="4" t="str">
        <f aca="false">IF(LEFT(E209,2)="S5","Spritz","Standard")</f>
        <v>Standard</v>
      </c>
      <c r="D209" s="4" t="n">
        <f aca="false">IF(RIGHT(E209,2)=".1",1,IF(RIGHT(E209,2)=".2",2,0))</f>
        <v>0</v>
      </c>
      <c r="E209" s="6" t="s">
        <v>31</v>
      </c>
      <c r="F209" s="1" t="s">
        <v>23</v>
      </c>
      <c r="G209" s="1" t="n">
        <v>567.6</v>
      </c>
      <c r="H209" s="1" t="n">
        <v>551</v>
      </c>
      <c r="I209" s="1" t="n">
        <v>23</v>
      </c>
      <c r="J209" s="1" t="n">
        <v>1</v>
      </c>
      <c r="K209" s="1" t="n">
        <v>1.2611</v>
      </c>
      <c r="L209" s="1" t="n">
        <v>0.1076</v>
      </c>
      <c r="M209" s="1" t="n">
        <v>8.533</v>
      </c>
      <c r="N209" s="1" t="n">
        <v>8.071</v>
      </c>
      <c r="O209" s="1" t="n">
        <v>2.771</v>
      </c>
      <c r="P209" s="1" t="n">
        <v>1.358</v>
      </c>
      <c r="Q209" s="1" t="n">
        <v>18.95</v>
      </c>
      <c r="R209" s="1" t="n">
        <v>-0.02424</v>
      </c>
      <c r="S209" s="1" t="n">
        <v>0.5</v>
      </c>
      <c r="T209" s="5" t="n">
        <v>1.803E-006</v>
      </c>
      <c r="U209" s="5" t="n">
        <v>0.0004204</v>
      </c>
      <c r="V209" s="1" t="n">
        <v>2.894</v>
      </c>
    </row>
    <row r="210" customFormat="false" ht="12.8" hidden="false" customHeight="false" outlineLevel="0" collapsed="false">
      <c r="A210" s="1" t="n">
        <v>23</v>
      </c>
      <c r="B210" s="4" t="s">
        <v>30</v>
      </c>
      <c r="C210" s="4" t="str">
        <f aca="false">IF(LEFT(E210,2)="S5","Spritz","Standard")</f>
        <v>Standard</v>
      </c>
      <c r="D210" s="4" t="n">
        <f aca="false">IF(RIGHT(E210,2)=".1",1,IF(RIGHT(E210,2)=".2",2,0))</f>
        <v>0</v>
      </c>
      <c r="E210" s="6" t="s">
        <v>31</v>
      </c>
      <c r="F210" s="1" t="s">
        <v>23</v>
      </c>
      <c r="G210" s="1" t="n">
        <v>592.6</v>
      </c>
      <c r="H210" s="1" t="n">
        <v>576</v>
      </c>
      <c r="I210" s="1" t="n">
        <v>23</v>
      </c>
      <c r="J210" s="1" t="n">
        <v>1</v>
      </c>
      <c r="K210" s="1" t="n">
        <v>1.58614</v>
      </c>
      <c r="L210" s="1" t="n">
        <v>0.1225</v>
      </c>
      <c r="M210" s="1" t="n">
        <v>7.726</v>
      </c>
      <c r="N210" s="1" t="n">
        <v>7.248</v>
      </c>
      <c r="O210" s="1" t="n">
        <v>2.675</v>
      </c>
      <c r="P210" s="1" t="n">
        <v>1.23</v>
      </c>
      <c r="Q210" s="1" t="n">
        <v>20.26</v>
      </c>
      <c r="R210" s="1" t="n">
        <v>-0.02467</v>
      </c>
      <c r="S210" s="1" t="n">
        <v>0.5</v>
      </c>
      <c r="T210" s="5" t="n">
        <v>2.053E-006</v>
      </c>
      <c r="U210" s="5" t="n">
        <v>0.0005287</v>
      </c>
      <c r="V210" s="1" t="n">
        <v>3.355</v>
      </c>
    </row>
    <row r="211" customFormat="false" ht="12.8" hidden="false" customHeight="false" outlineLevel="0" collapsed="false">
      <c r="A211" s="1" t="n">
        <v>24</v>
      </c>
      <c r="B211" s="4" t="s">
        <v>30</v>
      </c>
      <c r="C211" s="4" t="str">
        <f aca="false">IF(LEFT(E211,2)="S5","Spritz","Standard")</f>
        <v>Standard</v>
      </c>
      <c r="D211" s="4" t="n">
        <f aca="false">IF(RIGHT(E211,2)=".1",1,IF(RIGHT(E211,2)=".2",2,0))</f>
        <v>0</v>
      </c>
      <c r="E211" s="6" t="s">
        <v>31</v>
      </c>
      <c r="F211" s="1" t="s">
        <v>23</v>
      </c>
      <c r="G211" s="1" t="n">
        <v>617.7</v>
      </c>
      <c r="H211" s="1" t="n">
        <v>601.1</v>
      </c>
      <c r="I211" s="1" t="n">
        <v>23</v>
      </c>
      <c r="J211" s="1" t="n">
        <v>1</v>
      </c>
      <c r="K211" s="1" t="n">
        <v>1.99678</v>
      </c>
      <c r="L211" s="1" t="n">
        <v>0.1384</v>
      </c>
      <c r="M211" s="1" t="n">
        <v>6.933</v>
      </c>
      <c r="N211" s="1" t="n">
        <v>6.438</v>
      </c>
      <c r="O211" s="1" t="n">
        <v>2.573</v>
      </c>
      <c r="P211" s="1" t="n">
        <v>1.103</v>
      </c>
      <c r="Q211" s="1" t="n">
        <v>21.79</v>
      </c>
      <c r="R211" s="1" t="n">
        <v>-0.02451</v>
      </c>
      <c r="S211" s="1" t="n">
        <v>0.5</v>
      </c>
      <c r="T211" s="5" t="n">
        <v>2.319E-006</v>
      </c>
      <c r="U211" s="5" t="n">
        <v>0.0006656</v>
      </c>
      <c r="V211" s="1" t="n">
        <v>4.636</v>
      </c>
    </row>
    <row r="212" customFormat="false" ht="12.8" hidden="false" customHeight="false" outlineLevel="0" collapsed="false">
      <c r="A212" s="1" t="n">
        <v>25</v>
      </c>
      <c r="B212" s="4" t="s">
        <v>30</v>
      </c>
      <c r="C212" s="4" t="str">
        <f aca="false">IF(LEFT(E212,2)="S5","Spritz","Standard")</f>
        <v>Standard</v>
      </c>
      <c r="D212" s="4" t="n">
        <f aca="false">IF(RIGHT(E212,2)=".1",1,IF(RIGHT(E212,2)=".2",2,0))</f>
        <v>0</v>
      </c>
      <c r="E212" s="6" t="s">
        <v>31</v>
      </c>
      <c r="F212" s="1" t="s">
        <v>23</v>
      </c>
      <c r="G212" s="1" t="n">
        <v>642.7</v>
      </c>
      <c r="H212" s="1" t="n">
        <v>626.1</v>
      </c>
      <c r="I212" s="1" t="n">
        <v>23</v>
      </c>
      <c r="J212" s="1" t="n">
        <v>1</v>
      </c>
      <c r="K212" s="1" t="n">
        <v>2.5164</v>
      </c>
      <c r="L212" s="1" t="n">
        <v>0.1547</v>
      </c>
      <c r="M212" s="1" t="n">
        <v>6.146</v>
      </c>
      <c r="N212" s="1" t="n">
        <v>5.641</v>
      </c>
      <c r="O212" s="1" t="n">
        <v>2.44</v>
      </c>
      <c r="P212" s="1" t="n">
        <v>0.9782</v>
      </c>
      <c r="Q212" s="1" t="n">
        <v>23.39</v>
      </c>
      <c r="R212" s="1" t="n">
        <v>-0.0241</v>
      </c>
      <c r="S212" s="1" t="n">
        <v>0.5</v>
      </c>
      <c r="T212" s="5" t="n">
        <v>2.591E-006</v>
      </c>
      <c r="U212" s="5" t="n">
        <v>0.0008388</v>
      </c>
      <c r="V212" s="1" t="n">
        <v>5.865</v>
      </c>
    </row>
    <row r="213" customFormat="false" ht="12.8" hidden="false" customHeight="false" outlineLevel="0" collapsed="false">
      <c r="A213" s="1" t="n">
        <v>26</v>
      </c>
      <c r="B213" s="4" t="s">
        <v>30</v>
      </c>
      <c r="C213" s="4" t="str">
        <f aca="false">IF(LEFT(E213,2)="S5","Spritz","Standard")</f>
        <v>Standard</v>
      </c>
      <c r="D213" s="4" t="n">
        <f aca="false">IF(RIGHT(E213,2)=".1",1,IF(RIGHT(E213,2)=".2",2,0))</f>
        <v>0</v>
      </c>
      <c r="E213" s="6" t="s">
        <v>31</v>
      </c>
      <c r="F213" s="1" t="s">
        <v>23</v>
      </c>
      <c r="G213" s="1" t="n">
        <v>667.7</v>
      </c>
      <c r="H213" s="1" t="n">
        <v>651.1</v>
      </c>
      <c r="I213" s="1" t="n">
        <v>23</v>
      </c>
      <c r="J213" s="1" t="n">
        <v>1</v>
      </c>
      <c r="K213" s="1" t="n">
        <v>3.16615</v>
      </c>
      <c r="L213" s="1" t="n">
        <v>0.1702</v>
      </c>
      <c r="M213" s="1" t="n">
        <v>5.377</v>
      </c>
      <c r="N213" s="1" t="n">
        <v>4.863</v>
      </c>
      <c r="O213" s="1" t="n">
        <v>2.295</v>
      </c>
      <c r="P213" s="1" t="n">
        <v>0.8557</v>
      </c>
      <c r="Q213" s="1" t="n">
        <v>25.26</v>
      </c>
      <c r="R213" s="1" t="n">
        <v>-0.02508</v>
      </c>
      <c r="S213" s="1" t="n">
        <v>0.5</v>
      </c>
      <c r="T213" s="5" t="n">
        <v>2.852E-006</v>
      </c>
      <c r="U213" s="5" t="n">
        <v>0.001055</v>
      </c>
      <c r="V213" s="1" t="n">
        <v>7.059</v>
      </c>
    </row>
    <row r="214" customFormat="false" ht="12.8" hidden="false" customHeight="false" outlineLevel="0" collapsed="false">
      <c r="A214" s="1" t="n">
        <v>27</v>
      </c>
      <c r="B214" s="4" t="s">
        <v>30</v>
      </c>
      <c r="C214" s="4" t="str">
        <f aca="false">IF(LEFT(E214,2)="S5","Spritz","Standard")</f>
        <v>Standard</v>
      </c>
      <c r="D214" s="4" t="n">
        <f aca="false">IF(RIGHT(E214,2)=".1",1,IF(RIGHT(E214,2)=".2",2,0))</f>
        <v>0</v>
      </c>
      <c r="E214" s="6" t="s">
        <v>31</v>
      </c>
      <c r="F214" s="1" t="s">
        <v>23</v>
      </c>
      <c r="G214" s="1" t="n">
        <v>692.7</v>
      </c>
      <c r="H214" s="1" t="n">
        <v>676.1</v>
      </c>
      <c r="I214" s="1" t="n">
        <v>23</v>
      </c>
      <c r="J214" s="1" t="n">
        <v>1</v>
      </c>
      <c r="K214" s="1" t="n">
        <v>3.9879</v>
      </c>
      <c r="L214" s="1" t="n">
        <v>0.1845</v>
      </c>
      <c r="M214" s="1" t="n">
        <v>4.628</v>
      </c>
      <c r="N214" s="1" t="n">
        <v>4.11</v>
      </c>
      <c r="O214" s="1" t="n">
        <v>2.126</v>
      </c>
      <c r="P214" s="1" t="n">
        <v>0.7365</v>
      </c>
      <c r="Q214" s="1" t="n">
        <v>27.35</v>
      </c>
      <c r="R214" s="1" t="n">
        <v>-0.02436</v>
      </c>
      <c r="S214" s="1" t="n">
        <v>0.5</v>
      </c>
      <c r="T214" s="5" t="n">
        <v>3.092E-006</v>
      </c>
      <c r="U214" s="5" t="n">
        <v>0.001329</v>
      </c>
      <c r="V214" s="1" t="n">
        <v>9.186</v>
      </c>
    </row>
    <row r="215" customFormat="false" ht="12.8" hidden="false" customHeight="false" outlineLevel="0" collapsed="false">
      <c r="A215" s="1" t="n">
        <v>28</v>
      </c>
      <c r="B215" s="4" t="s">
        <v>30</v>
      </c>
      <c r="C215" s="4" t="str">
        <f aca="false">IF(LEFT(E215,2)="S5","Spritz","Standard")</f>
        <v>Standard</v>
      </c>
      <c r="D215" s="4" t="n">
        <f aca="false">IF(RIGHT(E215,2)=".1",1,IF(RIGHT(E215,2)=".2",2,0))</f>
        <v>0</v>
      </c>
      <c r="E215" s="6" t="s">
        <v>31</v>
      </c>
      <c r="F215" s="1" t="s">
        <v>23</v>
      </c>
      <c r="G215" s="1" t="n">
        <v>717.7</v>
      </c>
      <c r="H215" s="1" t="n">
        <v>701.1</v>
      </c>
      <c r="I215" s="1" t="n">
        <v>23</v>
      </c>
      <c r="J215" s="1" t="n">
        <v>1</v>
      </c>
      <c r="K215" s="1" t="n">
        <v>5.01884</v>
      </c>
      <c r="L215" s="1" t="n">
        <v>0.1985</v>
      </c>
      <c r="M215" s="1" t="n">
        <v>3.955</v>
      </c>
      <c r="N215" s="1" t="n">
        <v>3.444</v>
      </c>
      <c r="O215" s="1" t="n">
        <v>1.945</v>
      </c>
      <c r="P215" s="1" t="n">
        <v>0.6295</v>
      </c>
      <c r="Q215" s="1" t="n">
        <v>29.45</v>
      </c>
      <c r="R215" s="1" t="n">
        <v>-0.02435</v>
      </c>
      <c r="S215" s="1" t="n">
        <v>0.5</v>
      </c>
      <c r="T215" s="5" t="n">
        <v>3.325E-006</v>
      </c>
      <c r="U215" s="5" t="n">
        <v>0.001673</v>
      </c>
      <c r="V215" s="1" t="n">
        <v>10.45</v>
      </c>
    </row>
    <row r="216" customFormat="false" ht="12.8" hidden="false" customHeight="false" outlineLevel="0" collapsed="false">
      <c r="A216" s="1" t="n">
        <v>29</v>
      </c>
      <c r="B216" s="4" t="s">
        <v>30</v>
      </c>
      <c r="C216" s="4" t="str">
        <f aca="false">IF(LEFT(E216,2)="S5","Spritz","Standard")</f>
        <v>Standard</v>
      </c>
      <c r="D216" s="4" t="n">
        <f aca="false">IF(RIGHT(E216,2)=".1",1,IF(RIGHT(E216,2)=".2",2,0))</f>
        <v>0</v>
      </c>
      <c r="E216" s="6" t="s">
        <v>31</v>
      </c>
      <c r="F216" s="1" t="s">
        <v>23</v>
      </c>
      <c r="G216" s="1" t="n">
        <v>742.7</v>
      </c>
      <c r="H216" s="1" t="n">
        <v>726.1</v>
      </c>
      <c r="I216" s="1" t="n">
        <v>23</v>
      </c>
      <c r="J216" s="1" t="n">
        <v>1</v>
      </c>
      <c r="K216" s="1" t="n">
        <v>6.31892</v>
      </c>
      <c r="L216" s="1" t="n">
        <v>0.2133</v>
      </c>
      <c r="M216" s="1" t="n">
        <v>3.375</v>
      </c>
      <c r="N216" s="1" t="n">
        <v>2.882</v>
      </c>
      <c r="O216" s="1" t="n">
        <v>1.757</v>
      </c>
      <c r="P216" s="1" t="n">
        <v>0.5371</v>
      </c>
      <c r="Q216" s="1" t="n">
        <v>31.37</v>
      </c>
      <c r="R216" s="1" t="n">
        <v>-0.02507</v>
      </c>
      <c r="S216" s="1" t="n">
        <v>0.5</v>
      </c>
      <c r="T216" s="5" t="n">
        <v>3.573E-006</v>
      </c>
      <c r="U216" s="5" t="n">
        <v>0.002106</v>
      </c>
      <c r="V216" s="1" t="n">
        <v>12.51</v>
      </c>
    </row>
    <row r="217" customFormat="false" ht="12.8" hidden="false" customHeight="false" outlineLevel="0" collapsed="false">
      <c r="A217" s="1" t="n">
        <v>30</v>
      </c>
      <c r="B217" s="4" t="s">
        <v>30</v>
      </c>
      <c r="C217" s="4" t="str">
        <f aca="false">IF(LEFT(E217,2)="S5","Spritz","Standard")</f>
        <v>Standard</v>
      </c>
      <c r="D217" s="4" t="n">
        <f aca="false">IF(RIGHT(E217,2)=".1",1,IF(RIGHT(E217,2)=".2",2,0))</f>
        <v>0</v>
      </c>
      <c r="E217" s="6" t="s">
        <v>31</v>
      </c>
      <c r="F217" s="1" t="s">
        <v>23</v>
      </c>
      <c r="G217" s="1" t="n">
        <v>767.7</v>
      </c>
      <c r="H217" s="1" t="n">
        <v>751.1</v>
      </c>
      <c r="I217" s="1" t="n">
        <v>23</v>
      </c>
      <c r="J217" s="1" t="n">
        <v>1</v>
      </c>
      <c r="K217" s="1" t="n">
        <v>7.95162</v>
      </c>
      <c r="L217" s="1" t="n">
        <v>0.2248</v>
      </c>
      <c r="M217" s="1" t="n">
        <v>2.827</v>
      </c>
      <c r="N217" s="1" t="n">
        <v>2.353</v>
      </c>
      <c r="O217" s="1" t="n">
        <v>1.567</v>
      </c>
      <c r="P217" s="1" t="n">
        <v>0.4499</v>
      </c>
      <c r="Q217" s="1" t="n">
        <v>33.66</v>
      </c>
      <c r="R217" s="1" t="n">
        <v>-0.02497</v>
      </c>
      <c r="S217" s="1" t="n">
        <v>0.5</v>
      </c>
      <c r="T217" s="5" t="n">
        <v>3.766E-006</v>
      </c>
      <c r="U217" s="5" t="n">
        <v>0.002651</v>
      </c>
      <c r="V217" s="1" t="n">
        <v>16.39</v>
      </c>
    </row>
    <row r="218" customFormat="false" ht="12.8" hidden="false" customHeight="false" outlineLevel="0" collapsed="false">
      <c r="A218" s="1" t="n">
        <v>31</v>
      </c>
      <c r="B218" s="4" t="s">
        <v>30</v>
      </c>
      <c r="C218" s="4" t="str">
        <f aca="false">IF(LEFT(E218,2)="S5","Spritz","Standard")</f>
        <v>Standard</v>
      </c>
      <c r="D218" s="4" t="n">
        <f aca="false">IF(RIGHT(E218,2)=".1",1,IF(RIGHT(E218,2)=".2",2,0))</f>
        <v>0</v>
      </c>
      <c r="E218" s="6" t="s">
        <v>31</v>
      </c>
      <c r="F218" s="1" t="s">
        <v>23</v>
      </c>
      <c r="G218" s="1" t="n">
        <v>792.8</v>
      </c>
      <c r="H218" s="1" t="n">
        <v>776.2</v>
      </c>
      <c r="I218" s="1" t="n">
        <v>23</v>
      </c>
      <c r="J218" s="1" t="n">
        <v>1</v>
      </c>
      <c r="K218" s="1" t="n">
        <v>10.0156</v>
      </c>
      <c r="L218" s="1" t="n">
        <v>0.2362</v>
      </c>
      <c r="M218" s="1" t="n">
        <v>2.358</v>
      </c>
      <c r="N218" s="1" t="n">
        <v>1.921</v>
      </c>
      <c r="O218" s="1" t="n">
        <v>1.368</v>
      </c>
      <c r="P218" s="1" t="n">
        <v>0.3753</v>
      </c>
      <c r="Q218" s="1" t="n">
        <v>35.45</v>
      </c>
      <c r="R218" s="1" t="n">
        <v>-0.02498</v>
      </c>
      <c r="S218" s="1" t="n">
        <v>0.5</v>
      </c>
      <c r="T218" s="5" t="n">
        <v>3.957E-006</v>
      </c>
      <c r="U218" s="5" t="n">
        <v>0.003339</v>
      </c>
      <c r="V218" s="1" t="n">
        <v>19.46</v>
      </c>
    </row>
    <row r="219" customFormat="false" ht="12.8" hidden="false" customHeight="false" outlineLevel="0" collapsed="false">
      <c r="A219" s="1" t="n">
        <v>1</v>
      </c>
      <c r="B219" s="4" t="s">
        <v>30</v>
      </c>
      <c r="C219" s="4" t="str">
        <f aca="false">IF(LEFT(E219,2)="S5","Spritz","Standard")</f>
        <v>Standard</v>
      </c>
      <c r="D219" s="4" t="n">
        <v>1</v>
      </c>
      <c r="E219" s="6" t="s">
        <v>32</v>
      </c>
      <c r="F219" s="1" t="s">
        <v>23</v>
      </c>
      <c r="G219" s="1" t="n">
        <v>37.74</v>
      </c>
      <c r="H219" s="1" t="n">
        <v>25</v>
      </c>
      <c r="I219" s="1" t="n">
        <v>23.06</v>
      </c>
      <c r="J219" s="1" t="n">
        <v>1</v>
      </c>
      <c r="K219" s="1" t="n">
        <v>0.010364</v>
      </c>
      <c r="L219" s="5" t="n">
        <v>0.001811</v>
      </c>
      <c r="M219" s="1" t="n">
        <v>17.47</v>
      </c>
      <c r="N219" s="1" t="n">
        <v>17.06</v>
      </c>
      <c r="O219" s="1" t="n">
        <v>3.798</v>
      </c>
      <c r="P219" s="1" t="n">
        <v>2.781</v>
      </c>
      <c r="Q219" s="1" t="n">
        <v>12.55</v>
      </c>
      <c r="R219" s="1" t="n">
        <v>-0.1491</v>
      </c>
      <c r="S219" s="1" t="n">
        <v>0.5</v>
      </c>
      <c r="T219" s="5" t="n">
        <v>3.034E-008</v>
      </c>
      <c r="U219" s="5" t="n">
        <v>3.455E-006</v>
      </c>
      <c r="V219" s="1" t="n">
        <v>4.521</v>
      </c>
    </row>
    <row r="220" customFormat="false" ht="12.8" hidden="false" customHeight="false" outlineLevel="0" collapsed="false">
      <c r="A220" s="1" t="n">
        <v>2</v>
      </c>
      <c r="B220" s="4" t="s">
        <v>30</v>
      </c>
      <c r="C220" s="4" t="str">
        <f aca="false">IF(LEFT(E220,2)="S5","Spritz","Standard")</f>
        <v>Standard</v>
      </c>
      <c r="D220" s="4" t="n">
        <v>1</v>
      </c>
      <c r="E220" s="6" t="s">
        <v>32</v>
      </c>
      <c r="F220" s="1" t="s">
        <v>23</v>
      </c>
      <c r="G220" s="1" t="n">
        <v>62.75</v>
      </c>
      <c r="H220" s="1" t="n">
        <v>50.01</v>
      </c>
      <c r="I220" s="1" t="n">
        <v>23.05</v>
      </c>
      <c r="J220" s="1" t="n">
        <v>1</v>
      </c>
      <c r="K220" s="1" t="n">
        <v>0.0121714</v>
      </c>
      <c r="L220" s="5" t="n">
        <v>0.002108</v>
      </c>
      <c r="M220" s="1" t="n">
        <v>17.32</v>
      </c>
      <c r="N220" s="1" t="n">
        <v>16.86</v>
      </c>
      <c r="O220" s="1" t="n">
        <v>3.957</v>
      </c>
      <c r="P220" s="1" t="n">
        <v>2.757</v>
      </c>
      <c r="Q220" s="1" t="n">
        <v>13.21</v>
      </c>
      <c r="R220" s="1" t="n">
        <v>-0.1507</v>
      </c>
      <c r="S220" s="1" t="n">
        <v>0.5</v>
      </c>
      <c r="T220" s="5" t="n">
        <v>3.532E-008</v>
      </c>
      <c r="U220" s="5" t="n">
        <v>4.057E-006</v>
      </c>
      <c r="V220" s="1" t="n">
        <v>3.349</v>
      </c>
    </row>
    <row r="221" customFormat="false" ht="12.8" hidden="false" customHeight="false" outlineLevel="0" collapsed="false">
      <c r="A221" s="1" t="n">
        <v>3</v>
      </c>
      <c r="B221" s="4" t="s">
        <v>30</v>
      </c>
      <c r="C221" s="4" t="str">
        <f aca="false">IF(LEFT(E221,2)="S5","Spritz","Standard")</f>
        <v>Standard</v>
      </c>
      <c r="D221" s="4" t="n">
        <v>1</v>
      </c>
      <c r="E221" s="6" t="s">
        <v>32</v>
      </c>
      <c r="F221" s="1" t="s">
        <v>23</v>
      </c>
      <c r="G221" s="1" t="n">
        <v>87.77</v>
      </c>
      <c r="H221" s="1" t="n">
        <v>75.03</v>
      </c>
      <c r="I221" s="1" t="n">
        <v>23.03</v>
      </c>
      <c r="J221" s="1" t="n">
        <v>1</v>
      </c>
      <c r="K221" s="1" t="n">
        <v>0.0154291</v>
      </c>
      <c r="L221" s="5" t="n">
        <v>0.00266</v>
      </c>
      <c r="M221" s="1" t="n">
        <v>17.24</v>
      </c>
      <c r="N221" s="1" t="n">
        <v>16.56</v>
      </c>
      <c r="O221" s="1" t="n">
        <v>4.803</v>
      </c>
      <c r="P221" s="1" t="n">
        <v>2.744</v>
      </c>
      <c r="Q221" s="1" t="n">
        <v>16.18</v>
      </c>
      <c r="R221" s="1" t="n">
        <v>-0.1516</v>
      </c>
      <c r="S221" s="1" t="n">
        <v>0.5</v>
      </c>
      <c r="T221" s="5" t="n">
        <v>4.456E-008</v>
      </c>
      <c r="U221" s="5" t="n">
        <v>5.143E-006</v>
      </c>
      <c r="V221" s="1" t="n">
        <v>3.514</v>
      </c>
    </row>
    <row r="222" customFormat="false" ht="12.8" hidden="false" customHeight="false" outlineLevel="0" collapsed="false">
      <c r="A222" s="1" t="n">
        <v>4</v>
      </c>
      <c r="B222" s="4" t="s">
        <v>30</v>
      </c>
      <c r="C222" s="4" t="str">
        <f aca="false">IF(LEFT(E222,2)="S5","Spritz","Standard")</f>
        <v>Standard</v>
      </c>
      <c r="D222" s="4" t="n">
        <v>1</v>
      </c>
      <c r="E222" s="6" t="s">
        <v>32</v>
      </c>
      <c r="F222" s="1" t="s">
        <v>23</v>
      </c>
      <c r="G222" s="1" t="n">
        <v>112.8</v>
      </c>
      <c r="H222" s="1" t="n">
        <v>100</v>
      </c>
      <c r="I222" s="1" t="n">
        <v>23.02</v>
      </c>
      <c r="J222" s="1" t="n">
        <v>1</v>
      </c>
      <c r="K222" s="1" t="n">
        <v>0.0199438</v>
      </c>
      <c r="L222" s="5" t="n">
        <v>0.003378</v>
      </c>
      <c r="M222" s="1" t="n">
        <v>16.94</v>
      </c>
      <c r="N222" s="1" t="n">
        <v>16.52</v>
      </c>
      <c r="O222" s="1" t="n">
        <v>3.71</v>
      </c>
      <c r="P222" s="1" t="n">
        <v>2.695</v>
      </c>
      <c r="Q222" s="1" t="n">
        <v>12.65</v>
      </c>
      <c r="R222" s="1" t="n">
        <v>-0.1531</v>
      </c>
      <c r="S222" s="1" t="n">
        <v>0.5</v>
      </c>
      <c r="T222" s="5" t="n">
        <v>5.659E-008</v>
      </c>
      <c r="U222" s="5" t="n">
        <v>6.648E-006</v>
      </c>
      <c r="V222" s="1" t="n">
        <v>2.468</v>
      </c>
    </row>
    <row r="223" customFormat="false" ht="12.8" hidden="false" customHeight="false" outlineLevel="0" collapsed="false">
      <c r="A223" s="1" t="n">
        <v>5</v>
      </c>
      <c r="B223" s="4" t="s">
        <v>30</v>
      </c>
      <c r="C223" s="4" t="str">
        <f aca="false">IF(LEFT(E223,2)="S5","Spritz","Standard")</f>
        <v>Standard</v>
      </c>
      <c r="D223" s="4" t="n">
        <v>1</v>
      </c>
      <c r="E223" s="6" t="s">
        <v>32</v>
      </c>
      <c r="F223" s="1" t="s">
        <v>23</v>
      </c>
      <c r="G223" s="1" t="n">
        <v>137.8</v>
      </c>
      <c r="H223" s="1" t="n">
        <v>125.1</v>
      </c>
      <c r="I223" s="1" t="n">
        <v>23.01</v>
      </c>
      <c r="J223" s="1" t="n">
        <v>1</v>
      </c>
      <c r="K223" s="1" t="n">
        <v>0.0248611</v>
      </c>
      <c r="L223" s="5" t="n">
        <v>0.004219</v>
      </c>
      <c r="M223" s="1" t="n">
        <v>16.97</v>
      </c>
      <c r="N223" s="1" t="n">
        <v>16.47</v>
      </c>
      <c r="O223" s="1" t="n">
        <v>4.105</v>
      </c>
      <c r="P223" s="1" t="n">
        <v>2.701</v>
      </c>
      <c r="Q223" s="1" t="n">
        <v>14</v>
      </c>
      <c r="R223" s="1" t="n">
        <v>-0.1535</v>
      </c>
      <c r="S223" s="1" t="n">
        <v>0.5</v>
      </c>
      <c r="T223" s="5" t="n">
        <v>7.068E-008</v>
      </c>
      <c r="U223" s="5" t="n">
        <v>8.287E-006</v>
      </c>
      <c r="V223" s="1" t="n">
        <v>1.919</v>
      </c>
    </row>
    <row r="224" customFormat="false" ht="12.8" hidden="false" customHeight="false" outlineLevel="0" collapsed="false">
      <c r="A224" s="1" t="n">
        <v>6</v>
      </c>
      <c r="B224" s="4" t="s">
        <v>30</v>
      </c>
      <c r="C224" s="4" t="str">
        <f aca="false">IF(LEFT(E224,2)="S5","Spritz","Standard")</f>
        <v>Standard</v>
      </c>
      <c r="D224" s="4" t="n">
        <v>1</v>
      </c>
      <c r="E224" s="6" t="s">
        <v>32</v>
      </c>
      <c r="F224" s="1" t="s">
        <v>23</v>
      </c>
      <c r="G224" s="1" t="n">
        <v>162.8</v>
      </c>
      <c r="H224" s="1" t="n">
        <v>150.1</v>
      </c>
      <c r="I224" s="1" t="n">
        <v>23</v>
      </c>
      <c r="J224" s="1" t="n">
        <v>1</v>
      </c>
      <c r="K224" s="1" t="n">
        <v>0.0313388</v>
      </c>
      <c r="L224" s="5" t="n">
        <v>0.005299</v>
      </c>
      <c r="M224" s="1" t="n">
        <v>16.91</v>
      </c>
      <c r="N224" s="1" t="n">
        <v>16.39</v>
      </c>
      <c r="O224" s="1" t="n">
        <v>4.165</v>
      </c>
      <c r="P224" s="1" t="n">
        <v>2.691</v>
      </c>
      <c r="Q224" s="1" t="n">
        <v>14.26</v>
      </c>
      <c r="R224" s="1" t="n">
        <v>-0.1534</v>
      </c>
      <c r="S224" s="1" t="n">
        <v>0.5</v>
      </c>
      <c r="T224" s="5" t="n">
        <v>8.877E-008</v>
      </c>
      <c r="U224" s="5" t="n">
        <v>1.045E-005</v>
      </c>
      <c r="V224" s="1" t="n">
        <v>1.535</v>
      </c>
    </row>
    <row r="225" customFormat="false" ht="12.8" hidden="false" customHeight="false" outlineLevel="0" collapsed="false">
      <c r="A225" s="1" t="n">
        <v>7</v>
      </c>
      <c r="B225" s="4" t="s">
        <v>30</v>
      </c>
      <c r="C225" s="4" t="str">
        <f aca="false">IF(LEFT(E225,2)="S5","Spritz","Standard")</f>
        <v>Standard</v>
      </c>
      <c r="D225" s="4" t="n">
        <v>1</v>
      </c>
      <c r="E225" s="6" t="s">
        <v>32</v>
      </c>
      <c r="F225" s="1" t="s">
        <v>23</v>
      </c>
      <c r="G225" s="1" t="n">
        <v>187.8</v>
      </c>
      <c r="H225" s="1" t="n">
        <v>175.1</v>
      </c>
      <c r="I225" s="1" t="n">
        <v>23</v>
      </c>
      <c r="J225" s="1" t="n">
        <v>1</v>
      </c>
      <c r="K225" s="1" t="n">
        <v>0.0407285</v>
      </c>
      <c r="L225" s="5" t="n">
        <v>0.00679</v>
      </c>
      <c r="M225" s="1" t="n">
        <v>16.67</v>
      </c>
      <c r="N225" s="1" t="n">
        <v>16.2</v>
      </c>
      <c r="O225" s="1" t="n">
        <v>3.939</v>
      </c>
      <c r="P225" s="1" t="n">
        <v>2.653</v>
      </c>
      <c r="Q225" s="1" t="n">
        <v>13.67</v>
      </c>
      <c r="R225" s="1" t="n">
        <v>-0.1536</v>
      </c>
      <c r="S225" s="1" t="n">
        <v>0.5</v>
      </c>
      <c r="T225" s="5" t="n">
        <v>1.137E-007</v>
      </c>
      <c r="U225" s="5" t="n">
        <v>1.358E-005</v>
      </c>
      <c r="V225" s="1" t="n">
        <v>2.048</v>
      </c>
    </row>
    <row r="226" customFormat="false" ht="12.8" hidden="false" customHeight="false" outlineLevel="0" collapsed="false">
      <c r="A226" s="1" t="n">
        <v>8</v>
      </c>
      <c r="B226" s="4" t="s">
        <v>30</v>
      </c>
      <c r="C226" s="4" t="str">
        <f aca="false">IF(LEFT(E226,2)="S5","Spritz","Standard")</f>
        <v>Standard</v>
      </c>
      <c r="D226" s="4" t="n">
        <v>1</v>
      </c>
      <c r="E226" s="6" t="s">
        <v>32</v>
      </c>
      <c r="F226" s="1" t="s">
        <v>23</v>
      </c>
      <c r="G226" s="1" t="n">
        <v>212.8</v>
      </c>
      <c r="H226" s="1" t="n">
        <v>200.1</v>
      </c>
      <c r="I226" s="1" t="n">
        <v>23</v>
      </c>
      <c r="J226" s="1" t="n">
        <v>1</v>
      </c>
      <c r="K226" s="1" t="n">
        <v>0.0496437</v>
      </c>
      <c r="L226" s="5" t="n">
        <v>0.00821</v>
      </c>
      <c r="M226" s="1" t="n">
        <v>16.54</v>
      </c>
      <c r="N226" s="1" t="n">
        <v>16.1</v>
      </c>
      <c r="O226" s="1" t="n">
        <v>3.789</v>
      </c>
      <c r="P226" s="1" t="n">
        <v>2.632</v>
      </c>
      <c r="Q226" s="1" t="n">
        <v>13.25</v>
      </c>
      <c r="R226" s="1" t="n">
        <v>-0.1535</v>
      </c>
      <c r="S226" s="1" t="n">
        <v>0.5</v>
      </c>
      <c r="T226" s="5" t="n">
        <v>1.375E-007</v>
      </c>
      <c r="U226" s="5" t="n">
        <v>1.655E-005</v>
      </c>
      <c r="V226" s="1" t="n">
        <v>1.715</v>
      </c>
    </row>
    <row r="227" customFormat="false" ht="12.8" hidden="false" customHeight="false" outlineLevel="0" collapsed="false">
      <c r="A227" s="1" t="n">
        <v>9</v>
      </c>
      <c r="B227" s="4" t="s">
        <v>30</v>
      </c>
      <c r="C227" s="4" t="str">
        <f aca="false">IF(LEFT(E227,2)="S5","Spritz","Standard")</f>
        <v>Standard</v>
      </c>
      <c r="D227" s="4" t="n">
        <v>1</v>
      </c>
      <c r="E227" s="6" t="s">
        <v>32</v>
      </c>
      <c r="F227" s="1" t="s">
        <v>23</v>
      </c>
      <c r="G227" s="1" t="n">
        <v>237.8</v>
      </c>
      <c r="H227" s="1" t="n">
        <v>225.1</v>
      </c>
      <c r="I227" s="1" t="n">
        <v>23</v>
      </c>
      <c r="J227" s="1" t="n">
        <v>1</v>
      </c>
      <c r="K227" s="1" t="n">
        <v>0.0636925</v>
      </c>
      <c r="L227" s="1" t="n">
        <v>0.0104</v>
      </c>
      <c r="M227" s="1" t="n">
        <v>16.32</v>
      </c>
      <c r="N227" s="1" t="n">
        <v>15.91</v>
      </c>
      <c r="O227" s="1" t="n">
        <v>3.659</v>
      </c>
      <c r="P227" s="1" t="n">
        <v>2.598</v>
      </c>
      <c r="Q227" s="1" t="n">
        <v>12.95</v>
      </c>
      <c r="R227" s="1" t="n">
        <v>-0.1537</v>
      </c>
      <c r="S227" s="1" t="n">
        <v>0.5</v>
      </c>
      <c r="T227" s="5" t="n">
        <v>1.742E-007</v>
      </c>
      <c r="U227" s="5" t="n">
        <v>2.123E-005</v>
      </c>
      <c r="V227" s="1" t="n">
        <v>1.829</v>
      </c>
    </row>
    <row r="228" customFormat="false" ht="12.8" hidden="false" customHeight="false" outlineLevel="0" collapsed="false">
      <c r="A228" s="1" t="n">
        <v>10</v>
      </c>
      <c r="B228" s="4" t="s">
        <v>30</v>
      </c>
      <c r="C228" s="4" t="str">
        <f aca="false">IF(LEFT(E228,2)="S5","Spritz","Standard")</f>
        <v>Standard</v>
      </c>
      <c r="D228" s="4" t="n">
        <v>1</v>
      </c>
      <c r="E228" s="6" t="s">
        <v>32</v>
      </c>
      <c r="F228" s="1" t="s">
        <v>23</v>
      </c>
      <c r="G228" s="1" t="n">
        <v>262.8</v>
      </c>
      <c r="H228" s="1" t="n">
        <v>250.1</v>
      </c>
      <c r="I228" s="1" t="n">
        <v>23</v>
      </c>
      <c r="J228" s="1" t="n">
        <v>1</v>
      </c>
      <c r="K228" s="1" t="n">
        <v>0.078897</v>
      </c>
      <c r="L228" s="1" t="n">
        <v>0.01278</v>
      </c>
      <c r="M228" s="1" t="n">
        <v>16.2</v>
      </c>
      <c r="N228" s="1" t="n">
        <v>15.78</v>
      </c>
      <c r="O228" s="1" t="n">
        <v>3.676</v>
      </c>
      <c r="P228" s="1" t="n">
        <v>2.579</v>
      </c>
      <c r="Q228" s="1" t="n">
        <v>13.11</v>
      </c>
      <c r="R228" s="1" t="n">
        <v>-0.1548</v>
      </c>
      <c r="S228" s="1" t="n">
        <v>0.5</v>
      </c>
      <c r="T228" s="5" t="n">
        <v>2.141E-007</v>
      </c>
      <c r="U228" s="5" t="n">
        <v>2.63E-005</v>
      </c>
      <c r="V228" s="1" t="n">
        <v>1.108</v>
      </c>
    </row>
    <row r="229" customFormat="false" ht="12.8" hidden="false" customHeight="false" outlineLevel="0" collapsed="false">
      <c r="A229" s="1" t="n">
        <v>11</v>
      </c>
      <c r="B229" s="4" t="s">
        <v>30</v>
      </c>
      <c r="C229" s="4" t="str">
        <f aca="false">IF(LEFT(E229,2)="S5","Spritz","Standard")</f>
        <v>Standard</v>
      </c>
      <c r="D229" s="4" t="n">
        <v>1</v>
      </c>
      <c r="E229" s="6" t="s">
        <v>32</v>
      </c>
      <c r="F229" s="1" t="s">
        <v>23</v>
      </c>
      <c r="G229" s="1" t="n">
        <v>287.8</v>
      </c>
      <c r="H229" s="1" t="n">
        <v>275.1</v>
      </c>
      <c r="I229" s="1" t="n">
        <v>23</v>
      </c>
      <c r="J229" s="1" t="n">
        <v>1</v>
      </c>
      <c r="K229" s="1" t="n">
        <v>0.100449</v>
      </c>
      <c r="L229" s="1" t="n">
        <v>0.01599</v>
      </c>
      <c r="M229" s="1" t="n">
        <v>15.92</v>
      </c>
      <c r="N229" s="1" t="n">
        <v>15.5</v>
      </c>
      <c r="O229" s="1" t="n">
        <v>3.609</v>
      </c>
      <c r="P229" s="1" t="n">
        <v>2.533</v>
      </c>
      <c r="Q229" s="1" t="n">
        <v>13.11</v>
      </c>
      <c r="R229" s="1" t="n">
        <v>-0.1545</v>
      </c>
      <c r="S229" s="1" t="n">
        <v>0.5</v>
      </c>
      <c r="T229" s="5" t="n">
        <v>2.679E-007</v>
      </c>
      <c r="U229" s="5" t="n">
        <v>3.348E-005</v>
      </c>
      <c r="V229" s="1" t="n">
        <v>1.124</v>
      </c>
    </row>
    <row r="230" customFormat="false" ht="12.8" hidden="false" customHeight="false" outlineLevel="0" collapsed="false">
      <c r="A230" s="1" t="n">
        <v>12</v>
      </c>
      <c r="B230" s="4" t="s">
        <v>30</v>
      </c>
      <c r="C230" s="4" t="str">
        <f aca="false">IF(LEFT(E230,2)="S5","Spritz","Standard")</f>
        <v>Standard</v>
      </c>
      <c r="D230" s="4" t="n">
        <v>1</v>
      </c>
      <c r="E230" s="6" t="s">
        <v>32</v>
      </c>
      <c r="F230" s="1" t="s">
        <v>23</v>
      </c>
      <c r="G230" s="1" t="n">
        <v>312.9</v>
      </c>
      <c r="H230" s="1" t="n">
        <v>300.1</v>
      </c>
      <c r="I230" s="1" t="n">
        <v>23</v>
      </c>
      <c r="J230" s="1" t="n">
        <v>1</v>
      </c>
      <c r="K230" s="1" t="n">
        <v>0.125711</v>
      </c>
      <c r="L230" s="1" t="n">
        <v>0.01968</v>
      </c>
      <c r="M230" s="1" t="n">
        <v>15.66</v>
      </c>
      <c r="N230" s="1" t="n">
        <v>15.24</v>
      </c>
      <c r="O230" s="1" t="n">
        <v>3.576</v>
      </c>
      <c r="P230" s="1" t="n">
        <v>2.492</v>
      </c>
      <c r="Q230" s="1" t="n">
        <v>13.2</v>
      </c>
      <c r="R230" s="1" t="n">
        <v>-0.1544</v>
      </c>
      <c r="S230" s="1" t="n">
        <v>0.5</v>
      </c>
      <c r="T230" s="5" t="n">
        <v>3.297E-007</v>
      </c>
      <c r="U230" s="5" t="n">
        <v>4.191E-005</v>
      </c>
      <c r="V230" s="1" t="n">
        <v>0.7506</v>
      </c>
    </row>
    <row r="231" customFormat="false" ht="12.8" hidden="false" customHeight="false" outlineLevel="0" collapsed="false">
      <c r="A231" s="1" t="n">
        <v>13</v>
      </c>
      <c r="B231" s="4" t="s">
        <v>30</v>
      </c>
      <c r="C231" s="4" t="str">
        <f aca="false">IF(LEFT(E231,2)="S5","Spritz","Standard")</f>
        <v>Standard</v>
      </c>
      <c r="D231" s="4" t="n">
        <v>1</v>
      </c>
      <c r="E231" s="6" t="s">
        <v>32</v>
      </c>
      <c r="F231" s="1" t="s">
        <v>23</v>
      </c>
      <c r="G231" s="1" t="n">
        <v>337.9</v>
      </c>
      <c r="H231" s="1" t="n">
        <v>325.1</v>
      </c>
      <c r="I231" s="1" t="n">
        <v>23</v>
      </c>
      <c r="J231" s="1" t="n">
        <v>1</v>
      </c>
      <c r="K231" s="1" t="n">
        <v>0.158163</v>
      </c>
      <c r="L231" s="1" t="n">
        <v>0.02415</v>
      </c>
      <c r="M231" s="1" t="n">
        <v>15.27</v>
      </c>
      <c r="N231" s="1" t="n">
        <v>14.86</v>
      </c>
      <c r="O231" s="1" t="n">
        <v>3.48</v>
      </c>
      <c r="P231" s="1" t="n">
        <v>2.43</v>
      </c>
      <c r="Q231" s="1" t="n">
        <v>13.18</v>
      </c>
      <c r="R231" s="1" t="n">
        <v>-0.1578</v>
      </c>
      <c r="S231" s="1" t="n">
        <v>0.5</v>
      </c>
      <c r="T231" s="5" t="n">
        <v>4.045E-007</v>
      </c>
      <c r="U231" s="5" t="n">
        <v>5.272E-005</v>
      </c>
      <c r="V231" s="1" t="n">
        <v>1.072</v>
      </c>
    </row>
    <row r="232" customFormat="false" ht="12.8" hidden="false" customHeight="false" outlineLevel="0" collapsed="false">
      <c r="A232" s="1" t="n">
        <v>14</v>
      </c>
      <c r="B232" s="4" t="s">
        <v>30</v>
      </c>
      <c r="C232" s="4" t="str">
        <f aca="false">IF(LEFT(E232,2)="S5","Spritz","Standard")</f>
        <v>Standard</v>
      </c>
      <c r="D232" s="4" t="n">
        <v>1</v>
      </c>
      <c r="E232" s="6" t="s">
        <v>32</v>
      </c>
      <c r="F232" s="1" t="s">
        <v>23</v>
      </c>
      <c r="G232" s="1" t="n">
        <v>362.9</v>
      </c>
      <c r="H232" s="1" t="n">
        <v>350.1</v>
      </c>
      <c r="I232" s="1" t="n">
        <v>23</v>
      </c>
      <c r="J232" s="1" t="n">
        <v>1</v>
      </c>
      <c r="K232" s="1" t="n">
        <v>0.200228</v>
      </c>
      <c r="L232" s="1" t="n">
        <v>0.02979</v>
      </c>
      <c r="M232" s="1" t="n">
        <v>14.88</v>
      </c>
      <c r="N232" s="1" t="n">
        <v>14.49</v>
      </c>
      <c r="O232" s="1" t="n">
        <v>3.358</v>
      </c>
      <c r="P232" s="1" t="n">
        <v>2.368</v>
      </c>
      <c r="Q232" s="1" t="n">
        <v>13.04</v>
      </c>
      <c r="R232" s="1" t="n">
        <v>-0.1581</v>
      </c>
      <c r="S232" s="1" t="n">
        <v>0.5</v>
      </c>
      <c r="T232" s="5" t="n">
        <v>4.991E-007</v>
      </c>
      <c r="U232" s="5" t="n">
        <v>6.675E-005</v>
      </c>
      <c r="V232" s="1" t="n">
        <v>0.955</v>
      </c>
    </row>
    <row r="233" customFormat="false" ht="12.8" hidden="false" customHeight="false" outlineLevel="0" collapsed="false">
      <c r="A233" s="1" t="n">
        <v>15</v>
      </c>
      <c r="B233" s="4" t="s">
        <v>30</v>
      </c>
      <c r="C233" s="4" t="str">
        <f aca="false">IF(LEFT(E233,2)="S5","Spritz","Standard")</f>
        <v>Standard</v>
      </c>
      <c r="D233" s="4" t="n">
        <v>1</v>
      </c>
      <c r="E233" s="6" t="s">
        <v>32</v>
      </c>
      <c r="F233" s="1" t="s">
        <v>23</v>
      </c>
      <c r="G233" s="1" t="n">
        <v>387.9</v>
      </c>
      <c r="H233" s="1" t="n">
        <v>375.2</v>
      </c>
      <c r="I233" s="1" t="n">
        <v>23</v>
      </c>
      <c r="J233" s="1" t="n">
        <v>1</v>
      </c>
      <c r="K233" s="1" t="n">
        <v>0.250612</v>
      </c>
      <c r="L233" s="1" t="n">
        <v>0.03639</v>
      </c>
      <c r="M233" s="1" t="n">
        <v>14.52</v>
      </c>
      <c r="N233" s="1" t="n">
        <v>14.14</v>
      </c>
      <c r="O233" s="1" t="n">
        <v>3.303</v>
      </c>
      <c r="P233" s="1" t="n">
        <v>2.311</v>
      </c>
      <c r="Q233" s="1" t="n">
        <v>13.15</v>
      </c>
      <c r="R233" s="1" t="n">
        <v>-0.1583</v>
      </c>
      <c r="S233" s="1" t="n">
        <v>0.5</v>
      </c>
      <c r="T233" s="5" t="n">
        <v>6.097E-007</v>
      </c>
      <c r="U233" s="5" t="n">
        <v>8.354E-005</v>
      </c>
      <c r="V233" s="1" t="n">
        <v>0.9882</v>
      </c>
    </row>
    <row r="234" customFormat="false" ht="12.8" hidden="false" customHeight="false" outlineLevel="0" collapsed="false">
      <c r="A234" s="1" t="n">
        <v>16</v>
      </c>
      <c r="B234" s="4" t="s">
        <v>30</v>
      </c>
      <c r="C234" s="4" t="str">
        <f aca="false">IF(LEFT(E234,2)="S5","Spritz","Standard")</f>
        <v>Standard</v>
      </c>
      <c r="D234" s="4" t="n">
        <v>1</v>
      </c>
      <c r="E234" s="6" t="s">
        <v>32</v>
      </c>
      <c r="F234" s="1" t="s">
        <v>23</v>
      </c>
      <c r="G234" s="1" t="n">
        <v>412.9</v>
      </c>
      <c r="H234" s="1" t="n">
        <v>400.2</v>
      </c>
      <c r="I234" s="1" t="n">
        <v>23</v>
      </c>
      <c r="J234" s="1" t="n">
        <v>1</v>
      </c>
      <c r="K234" s="1" t="n">
        <v>0.317002</v>
      </c>
      <c r="L234" s="1" t="n">
        <v>0.04469</v>
      </c>
      <c r="M234" s="1" t="n">
        <v>14.1</v>
      </c>
      <c r="N234" s="1" t="n">
        <v>13.71</v>
      </c>
      <c r="O234" s="1" t="n">
        <v>3.266</v>
      </c>
      <c r="P234" s="1" t="n">
        <v>2.244</v>
      </c>
      <c r="Q234" s="1" t="n">
        <v>13.4</v>
      </c>
      <c r="R234" s="1" t="n">
        <v>-0.1585</v>
      </c>
      <c r="S234" s="1" t="n">
        <v>0.5</v>
      </c>
      <c r="T234" s="5" t="n">
        <v>7.487E-007</v>
      </c>
      <c r="U234" s="5" t="n">
        <v>0.0001057</v>
      </c>
      <c r="V234" s="1" t="n">
        <v>1.098</v>
      </c>
    </row>
    <row r="235" customFormat="false" ht="12.8" hidden="false" customHeight="false" outlineLevel="0" collapsed="false">
      <c r="A235" s="1" t="n">
        <v>17</v>
      </c>
      <c r="B235" s="4" t="s">
        <v>30</v>
      </c>
      <c r="C235" s="4" t="str">
        <f aca="false">IF(LEFT(E235,2)="S5","Spritz","Standard")</f>
        <v>Standard</v>
      </c>
      <c r="D235" s="4" t="n">
        <v>1</v>
      </c>
      <c r="E235" s="6" t="s">
        <v>32</v>
      </c>
      <c r="F235" s="1" t="s">
        <v>23</v>
      </c>
      <c r="G235" s="1" t="n">
        <v>437.9</v>
      </c>
      <c r="H235" s="1" t="n">
        <v>425.2</v>
      </c>
      <c r="I235" s="1" t="n">
        <v>23</v>
      </c>
      <c r="J235" s="1" t="n">
        <v>1</v>
      </c>
      <c r="K235" s="1" t="n">
        <v>0.397542</v>
      </c>
      <c r="L235" s="1" t="n">
        <v>0.05414</v>
      </c>
      <c r="M235" s="1" t="n">
        <v>13.62</v>
      </c>
      <c r="N235" s="1" t="n">
        <v>13.23</v>
      </c>
      <c r="O235" s="1" t="n">
        <v>3.238</v>
      </c>
      <c r="P235" s="1" t="n">
        <v>2.167</v>
      </c>
      <c r="Q235" s="1" t="n">
        <v>13.76</v>
      </c>
      <c r="R235" s="1" t="n">
        <v>-0.1589</v>
      </c>
      <c r="S235" s="1" t="n">
        <v>0.5</v>
      </c>
      <c r="T235" s="5" t="n">
        <v>9.07E-007</v>
      </c>
      <c r="U235" s="5" t="n">
        <v>0.0001325</v>
      </c>
      <c r="V235" s="1" t="n">
        <v>1.048</v>
      </c>
    </row>
    <row r="236" customFormat="false" ht="12.8" hidden="false" customHeight="false" outlineLevel="0" collapsed="false">
      <c r="A236" s="1" t="n">
        <v>18</v>
      </c>
      <c r="B236" s="4" t="s">
        <v>30</v>
      </c>
      <c r="C236" s="4" t="str">
        <f aca="false">IF(LEFT(E236,2)="S5","Spritz","Standard")</f>
        <v>Standard</v>
      </c>
      <c r="D236" s="4" t="n">
        <v>1</v>
      </c>
      <c r="E236" s="6" t="s">
        <v>32</v>
      </c>
      <c r="F236" s="1" t="s">
        <v>23</v>
      </c>
      <c r="G236" s="1" t="n">
        <v>462.9</v>
      </c>
      <c r="H236" s="1" t="n">
        <v>450.2</v>
      </c>
      <c r="I236" s="1" t="n">
        <v>23</v>
      </c>
      <c r="J236" s="1" t="n">
        <v>1</v>
      </c>
      <c r="K236" s="1" t="n">
        <v>0.501117</v>
      </c>
      <c r="L236" s="1" t="n">
        <v>0.06569</v>
      </c>
      <c r="M236" s="1" t="n">
        <v>13.11</v>
      </c>
      <c r="N236" s="1" t="n">
        <v>12.71</v>
      </c>
      <c r="O236" s="1" t="n">
        <v>3.209</v>
      </c>
      <c r="P236" s="1" t="n">
        <v>2.086</v>
      </c>
      <c r="Q236" s="1" t="n">
        <v>14.17</v>
      </c>
      <c r="R236" s="1" t="n">
        <v>-0.159</v>
      </c>
      <c r="S236" s="1" t="n">
        <v>0.5</v>
      </c>
      <c r="T236" s="5" t="n">
        <v>1.1E-006</v>
      </c>
      <c r="U236" s="5" t="n">
        <v>0.000167</v>
      </c>
      <c r="V236" s="1" t="n">
        <v>1.123</v>
      </c>
    </row>
    <row r="237" customFormat="false" ht="12.8" hidden="false" customHeight="false" outlineLevel="0" collapsed="false">
      <c r="A237" s="1" t="n">
        <v>19</v>
      </c>
      <c r="B237" s="4" t="s">
        <v>30</v>
      </c>
      <c r="C237" s="4" t="str">
        <f aca="false">IF(LEFT(E237,2)="S5","Spritz","Standard")</f>
        <v>Standard</v>
      </c>
      <c r="D237" s="4" t="n">
        <v>1</v>
      </c>
      <c r="E237" s="6" t="s">
        <v>32</v>
      </c>
      <c r="F237" s="1" t="s">
        <v>23</v>
      </c>
      <c r="G237" s="1" t="n">
        <v>488</v>
      </c>
      <c r="H237" s="1" t="n">
        <v>475.2</v>
      </c>
      <c r="I237" s="1" t="n">
        <v>23</v>
      </c>
      <c r="J237" s="1" t="n">
        <v>1</v>
      </c>
      <c r="K237" s="1" t="n">
        <v>0.632124</v>
      </c>
      <c r="L237" s="1" t="n">
        <v>0.07926</v>
      </c>
      <c r="M237" s="1" t="n">
        <v>12.54</v>
      </c>
      <c r="N237" s="1" t="n">
        <v>12.13</v>
      </c>
      <c r="O237" s="1" t="n">
        <v>3.18</v>
      </c>
      <c r="P237" s="1" t="n">
        <v>1.996</v>
      </c>
      <c r="Q237" s="1" t="n">
        <v>14.69</v>
      </c>
      <c r="R237" s="1" t="n">
        <v>-0.1584</v>
      </c>
      <c r="S237" s="1" t="n">
        <v>0.5</v>
      </c>
      <c r="T237" s="5" t="n">
        <v>1.328E-006</v>
      </c>
      <c r="U237" s="5" t="n">
        <v>0.0002107</v>
      </c>
      <c r="V237" s="1" t="n">
        <v>1.078</v>
      </c>
    </row>
    <row r="238" customFormat="false" ht="12.8" hidden="false" customHeight="false" outlineLevel="0" collapsed="false">
      <c r="A238" s="1" t="n">
        <v>20</v>
      </c>
      <c r="B238" s="4" t="s">
        <v>30</v>
      </c>
      <c r="C238" s="4" t="str">
        <f aca="false">IF(LEFT(E238,2)="S5","Spritz","Standard")</f>
        <v>Standard</v>
      </c>
      <c r="D238" s="4" t="n">
        <v>1</v>
      </c>
      <c r="E238" s="6" t="s">
        <v>32</v>
      </c>
      <c r="F238" s="1" t="s">
        <v>23</v>
      </c>
      <c r="G238" s="1" t="n">
        <v>513</v>
      </c>
      <c r="H238" s="1" t="n">
        <v>500.2</v>
      </c>
      <c r="I238" s="1" t="n">
        <v>23</v>
      </c>
      <c r="J238" s="1" t="n">
        <v>1</v>
      </c>
      <c r="K238" s="1" t="n">
        <v>0.793341</v>
      </c>
      <c r="L238" s="1" t="n">
        <v>0.09468</v>
      </c>
      <c r="M238" s="1" t="n">
        <v>11.93</v>
      </c>
      <c r="N238" s="1" t="n">
        <v>11.51</v>
      </c>
      <c r="O238" s="1" t="n">
        <v>3.149</v>
      </c>
      <c r="P238" s="1" t="n">
        <v>1.899</v>
      </c>
      <c r="Q238" s="1" t="n">
        <v>15.3</v>
      </c>
      <c r="R238" s="1" t="n">
        <v>-0.1584</v>
      </c>
      <c r="S238" s="1" t="n">
        <v>0.5</v>
      </c>
      <c r="T238" s="5" t="n">
        <v>1.586E-006</v>
      </c>
      <c r="U238" s="5" t="n">
        <v>0.0002645</v>
      </c>
      <c r="V238" s="1" t="n">
        <v>1.447</v>
      </c>
    </row>
    <row r="239" customFormat="false" ht="12.8" hidden="false" customHeight="false" outlineLevel="0" collapsed="false">
      <c r="A239" s="1" t="n">
        <v>21</v>
      </c>
      <c r="B239" s="4" t="s">
        <v>30</v>
      </c>
      <c r="C239" s="4" t="str">
        <f aca="false">IF(LEFT(E239,2)="S5","Spritz","Standard")</f>
        <v>Standard</v>
      </c>
      <c r="D239" s="4" t="n">
        <v>1</v>
      </c>
      <c r="E239" s="6" t="s">
        <v>32</v>
      </c>
      <c r="F239" s="1" t="s">
        <v>23</v>
      </c>
      <c r="G239" s="1" t="n">
        <v>538</v>
      </c>
      <c r="H239" s="1" t="n">
        <v>525.2</v>
      </c>
      <c r="I239" s="1" t="n">
        <v>23</v>
      </c>
      <c r="J239" s="1" t="n">
        <v>1</v>
      </c>
      <c r="K239" s="1" t="n">
        <v>1.00084</v>
      </c>
      <c r="L239" s="1" t="n">
        <v>0.1129</v>
      </c>
      <c r="M239" s="1" t="n">
        <v>11.28</v>
      </c>
      <c r="N239" s="1" t="n">
        <v>10.84</v>
      </c>
      <c r="O239" s="1" t="n">
        <v>3.115</v>
      </c>
      <c r="P239" s="1" t="n">
        <v>1.795</v>
      </c>
      <c r="Q239" s="1" t="n">
        <v>16.03</v>
      </c>
      <c r="R239" s="1" t="n">
        <v>-0.1581</v>
      </c>
      <c r="S239" s="1" t="n">
        <v>0.5</v>
      </c>
      <c r="T239" s="5" t="n">
        <v>1.891E-006</v>
      </c>
      <c r="U239" s="5" t="n">
        <v>0.0003336</v>
      </c>
      <c r="V239" s="1" t="n">
        <v>1.563</v>
      </c>
    </row>
    <row r="240" customFormat="false" ht="12.8" hidden="false" customHeight="false" outlineLevel="0" collapsed="false">
      <c r="A240" s="1" t="n">
        <v>22</v>
      </c>
      <c r="B240" s="4" t="s">
        <v>30</v>
      </c>
      <c r="C240" s="4" t="str">
        <f aca="false">IF(LEFT(E240,2)="S5","Spritz","Standard")</f>
        <v>Standard</v>
      </c>
      <c r="D240" s="4" t="n">
        <v>1</v>
      </c>
      <c r="E240" s="6" t="s">
        <v>32</v>
      </c>
      <c r="F240" s="1" t="s">
        <v>23</v>
      </c>
      <c r="G240" s="1" t="n">
        <v>563</v>
      </c>
      <c r="H240" s="1" t="n">
        <v>550.2</v>
      </c>
      <c r="I240" s="1" t="n">
        <v>23</v>
      </c>
      <c r="J240" s="1" t="n">
        <v>1</v>
      </c>
      <c r="K240" s="1" t="n">
        <v>1.26004</v>
      </c>
      <c r="L240" s="1" t="n">
        <v>0.1335</v>
      </c>
      <c r="M240" s="1" t="n">
        <v>10.6</v>
      </c>
      <c r="N240" s="1" t="n">
        <v>10.15</v>
      </c>
      <c r="O240" s="1" t="n">
        <v>3.061</v>
      </c>
      <c r="P240" s="1" t="n">
        <v>1.687</v>
      </c>
      <c r="Q240" s="1" t="n">
        <v>16.79</v>
      </c>
      <c r="R240" s="1" t="n">
        <v>-0.1576</v>
      </c>
      <c r="S240" s="1" t="n">
        <v>0.5</v>
      </c>
      <c r="T240" s="5" t="n">
        <v>2.237E-006</v>
      </c>
      <c r="U240" s="5" t="n">
        <v>0.00042</v>
      </c>
      <c r="V240" s="1" t="n">
        <v>1.677</v>
      </c>
    </row>
    <row r="241" customFormat="false" ht="12.8" hidden="false" customHeight="false" outlineLevel="0" collapsed="false">
      <c r="A241" s="1" t="n">
        <v>23</v>
      </c>
      <c r="B241" s="4" t="s">
        <v>30</v>
      </c>
      <c r="C241" s="4" t="str">
        <f aca="false">IF(LEFT(E241,2)="S5","Spritz","Standard")</f>
        <v>Standard</v>
      </c>
      <c r="D241" s="4" t="n">
        <v>1</v>
      </c>
      <c r="E241" s="6" t="s">
        <v>32</v>
      </c>
      <c r="F241" s="1" t="s">
        <v>23</v>
      </c>
      <c r="G241" s="1" t="n">
        <v>588</v>
      </c>
      <c r="H241" s="1" t="n">
        <v>575.3</v>
      </c>
      <c r="I241" s="1" t="n">
        <v>23</v>
      </c>
      <c r="J241" s="1" t="n">
        <v>1</v>
      </c>
      <c r="K241" s="1" t="n">
        <v>1.58539</v>
      </c>
      <c r="L241" s="1" t="n">
        <v>0.157</v>
      </c>
      <c r="M241" s="1" t="n">
        <v>9.902</v>
      </c>
      <c r="N241" s="1" t="n">
        <v>9.434</v>
      </c>
      <c r="O241" s="1" t="n">
        <v>3.007</v>
      </c>
      <c r="P241" s="1" t="n">
        <v>1.576</v>
      </c>
      <c r="Q241" s="1" t="n">
        <v>17.68</v>
      </c>
      <c r="R241" s="1" t="n">
        <v>-0.1582</v>
      </c>
      <c r="S241" s="1" t="n">
        <v>0.5</v>
      </c>
      <c r="T241" s="5" t="n">
        <v>2.63E-006</v>
      </c>
      <c r="U241" s="5" t="n">
        <v>0.0005285</v>
      </c>
      <c r="V241" s="1" t="n">
        <v>1.906</v>
      </c>
    </row>
    <row r="242" customFormat="false" ht="12.8" hidden="false" customHeight="false" outlineLevel="0" collapsed="false">
      <c r="A242" s="1" t="n">
        <v>24</v>
      </c>
      <c r="B242" s="4" t="s">
        <v>30</v>
      </c>
      <c r="C242" s="4" t="str">
        <f aca="false">IF(LEFT(E242,2)="S5","Spritz","Standard")</f>
        <v>Standard</v>
      </c>
      <c r="D242" s="4" t="n">
        <v>1</v>
      </c>
      <c r="E242" s="6" t="s">
        <v>32</v>
      </c>
      <c r="F242" s="1" t="s">
        <v>23</v>
      </c>
      <c r="G242" s="1" t="n">
        <v>613</v>
      </c>
      <c r="H242" s="1" t="n">
        <v>600.3</v>
      </c>
      <c r="I242" s="1" t="n">
        <v>23</v>
      </c>
      <c r="J242" s="1" t="n">
        <v>1</v>
      </c>
      <c r="K242" s="1" t="n">
        <v>1.99906</v>
      </c>
      <c r="L242" s="1" t="n">
        <v>0.1834</v>
      </c>
      <c r="M242" s="1" t="n">
        <v>9.172</v>
      </c>
      <c r="N242" s="1" t="n">
        <v>8.685</v>
      </c>
      <c r="O242" s="1" t="n">
        <v>2.948</v>
      </c>
      <c r="P242" s="1" t="n">
        <v>1.46</v>
      </c>
      <c r="Q242" s="1" t="n">
        <v>18.75</v>
      </c>
      <c r="R242" s="1" t="n">
        <v>-0.1581</v>
      </c>
      <c r="S242" s="1" t="n">
        <v>0.5</v>
      </c>
      <c r="T242" s="5" t="n">
        <v>3.072E-006</v>
      </c>
      <c r="U242" s="5" t="n">
        <v>0.0006664</v>
      </c>
      <c r="V242" s="1" t="n">
        <v>2.545</v>
      </c>
    </row>
    <row r="243" customFormat="false" ht="12.8" hidden="false" customHeight="false" outlineLevel="0" collapsed="false">
      <c r="A243" s="1" t="n">
        <v>25</v>
      </c>
      <c r="B243" s="4" t="s">
        <v>30</v>
      </c>
      <c r="C243" s="4" t="str">
        <f aca="false">IF(LEFT(E243,2)="S5","Spritz","Standard")</f>
        <v>Standard</v>
      </c>
      <c r="D243" s="4" t="n">
        <v>1</v>
      </c>
      <c r="E243" s="6" t="s">
        <v>32</v>
      </c>
      <c r="F243" s="1" t="s">
        <v>23</v>
      </c>
      <c r="G243" s="1" t="n">
        <v>638</v>
      </c>
      <c r="H243" s="1" t="n">
        <v>625.3</v>
      </c>
      <c r="I243" s="1" t="n">
        <v>23</v>
      </c>
      <c r="J243" s="1" t="n">
        <v>1</v>
      </c>
      <c r="K243" s="1" t="n">
        <v>2.51255</v>
      </c>
      <c r="L243" s="1" t="n">
        <v>0.2124</v>
      </c>
      <c r="M243" s="1" t="n">
        <v>8.453</v>
      </c>
      <c r="N243" s="1" t="n">
        <v>7.948</v>
      </c>
      <c r="O243" s="1" t="n">
        <v>2.877</v>
      </c>
      <c r="P243" s="1" t="n">
        <v>1.345</v>
      </c>
      <c r="Q243" s="1" t="n">
        <v>19.9</v>
      </c>
      <c r="R243" s="1" t="n">
        <v>-0.1579</v>
      </c>
      <c r="S243" s="1" t="n">
        <v>0.5</v>
      </c>
      <c r="T243" s="5" t="n">
        <v>3.558E-006</v>
      </c>
      <c r="U243" s="5" t="n">
        <v>0.0008376</v>
      </c>
      <c r="V243" s="1" t="n">
        <v>3.173</v>
      </c>
    </row>
    <row r="244" customFormat="false" ht="12.8" hidden="false" customHeight="false" outlineLevel="0" collapsed="false">
      <c r="A244" s="1" t="n">
        <v>26</v>
      </c>
      <c r="B244" s="4" t="s">
        <v>30</v>
      </c>
      <c r="C244" s="4" t="str">
        <f aca="false">IF(LEFT(E244,2)="S5","Spritz","Standard")</f>
        <v>Standard</v>
      </c>
      <c r="D244" s="4" t="n">
        <v>1</v>
      </c>
      <c r="E244" s="6" t="s">
        <v>32</v>
      </c>
      <c r="F244" s="1" t="s">
        <v>23</v>
      </c>
      <c r="G244" s="1" t="n">
        <v>663</v>
      </c>
      <c r="H244" s="1" t="n">
        <v>650.3</v>
      </c>
      <c r="I244" s="1" t="n">
        <v>23</v>
      </c>
      <c r="J244" s="1" t="n">
        <v>1</v>
      </c>
      <c r="K244" s="1" t="n">
        <v>3.16558</v>
      </c>
      <c r="L244" s="1" t="n">
        <v>0.2446</v>
      </c>
      <c r="M244" s="1" t="n">
        <v>7.726</v>
      </c>
      <c r="N244" s="1" t="n">
        <v>7.204</v>
      </c>
      <c r="O244" s="1" t="n">
        <v>2.791</v>
      </c>
      <c r="P244" s="1" t="n">
        <v>1.23</v>
      </c>
      <c r="Q244" s="1" t="n">
        <v>21.18</v>
      </c>
      <c r="R244" s="1" t="n">
        <v>-0.1581</v>
      </c>
      <c r="S244" s="1" t="n">
        <v>0.5</v>
      </c>
      <c r="T244" s="5" t="n">
        <v>4.097E-006</v>
      </c>
      <c r="U244" s="5" t="n">
        <v>0.001055</v>
      </c>
      <c r="V244" s="1" t="n">
        <v>3.952</v>
      </c>
    </row>
    <row r="245" customFormat="false" ht="12.8" hidden="false" customHeight="false" outlineLevel="0" collapsed="false">
      <c r="A245" s="1" t="n">
        <v>27</v>
      </c>
      <c r="B245" s="4" t="s">
        <v>30</v>
      </c>
      <c r="C245" s="4" t="str">
        <f aca="false">IF(LEFT(E245,2)="S5","Spritz","Standard")</f>
        <v>Standard</v>
      </c>
      <c r="D245" s="4" t="n">
        <v>1</v>
      </c>
      <c r="E245" s="6" t="s">
        <v>32</v>
      </c>
      <c r="F245" s="1" t="s">
        <v>23</v>
      </c>
      <c r="G245" s="1" t="n">
        <v>688.1</v>
      </c>
      <c r="H245" s="1" t="n">
        <v>675.3</v>
      </c>
      <c r="I245" s="1" t="n">
        <v>23</v>
      </c>
      <c r="J245" s="1" t="n">
        <v>1</v>
      </c>
      <c r="K245" s="1" t="n">
        <v>3.98391</v>
      </c>
      <c r="L245" s="1" t="n">
        <v>0.2783</v>
      </c>
      <c r="M245" s="1" t="n">
        <v>6.985</v>
      </c>
      <c r="N245" s="1" t="n">
        <v>6.45</v>
      </c>
      <c r="O245" s="1" t="n">
        <v>2.679</v>
      </c>
      <c r="P245" s="1" t="n">
        <v>1.112</v>
      </c>
      <c r="Q245" s="1" t="n">
        <v>22.55</v>
      </c>
      <c r="R245" s="1" t="n">
        <v>-0.1578</v>
      </c>
      <c r="S245" s="1" t="n">
        <v>0.5</v>
      </c>
      <c r="T245" s="5" t="n">
        <v>4.662E-006</v>
      </c>
      <c r="U245" s="5" t="n">
        <v>0.001328</v>
      </c>
      <c r="V245" s="1" t="n">
        <v>5.313</v>
      </c>
    </row>
    <row r="246" customFormat="false" ht="12.8" hidden="false" customHeight="false" outlineLevel="0" collapsed="false">
      <c r="A246" s="1" t="n">
        <v>28</v>
      </c>
      <c r="B246" s="4" t="s">
        <v>30</v>
      </c>
      <c r="C246" s="4" t="str">
        <f aca="false">IF(LEFT(E246,2)="S5","Spritz","Standard")</f>
        <v>Standard</v>
      </c>
      <c r="D246" s="4" t="n">
        <v>1</v>
      </c>
      <c r="E246" s="6" t="s">
        <v>32</v>
      </c>
      <c r="F246" s="1" t="s">
        <v>23</v>
      </c>
      <c r="G246" s="1" t="n">
        <v>713.1</v>
      </c>
      <c r="H246" s="1" t="n">
        <v>700.3</v>
      </c>
      <c r="I246" s="1" t="n">
        <v>23</v>
      </c>
      <c r="J246" s="1" t="n">
        <v>1</v>
      </c>
      <c r="K246" s="1" t="n">
        <v>5.01627</v>
      </c>
      <c r="L246" s="1" t="n">
        <v>0.3139</v>
      </c>
      <c r="M246" s="1" t="n">
        <v>6.257</v>
      </c>
      <c r="N246" s="1" t="n">
        <v>5.71</v>
      </c>
      <c r="O246" s="1" t="n">
        <v>2.558</v>
      </c>
      <c r="P246" s="1" t="n">
        <v>0.9958</v>
      </c>
      <c r="Q246" s="1" t="n">
        <v>24.13</v>
      </c>
      <c r="R246" s="1" t="n">
        <v>-0.1575</v>
      </c>
      <c r="S246" s="1" t="n">
        <v>0.5</v>
      </c>
      <c r="T246" s="5" t="n">
        <v>5.258E-006</v>
      </c>
      <c r="U246" s="5" t="n">
        <v>0.001672</v>
      </c>
      <c r="V246" s="1" t="n">
        <v>6.177</v>
      </c>
    </row>
    <row r="247" customFormat="false" ht="12.8" hidden="false" customHeight="false" outlineLevel="0" collapsed="false">
      <c r="A247" s="1" t="n">
        <v>29</v>
      </c>
      <c r="B247" s="4" t="s">
        <v>30</v>
      </c>
      <c r="C247" s="4" t="str">
        <f aca="false">IF(LEFT(E247,2)="S5","Spritz","Standard")</f>
        <v>Standard</v>
      </c>
      <c r="D247" s="4" t="n">
        <v>1</v>
      </c>
      <c r="E247" s="6" t="s">
        <v>32</v>
      </c>
      <c r="F247" s="1" t="s">
        <v>23</v>
      </c>
      <c r="G247" s="1" t="n">
        <v>738.1</v>
      </c>
      <c r="H247" s="1" t="n">
        <v>725.3</v>
      </c>
      <c r="I247" s="1" t="n">
        <v>23</v>
      </c>
      <c r="J247" s="1" t="n">
        <v>1</v>
      </c>
      <c r="K247" s="1" t="n">
        <v>6.31655</v>
      </c>
      <c r="L247" s="1" t="n">
        <v>0.3485</v>
      </c>
      <c r="M247" s="1" t="n">
        <v>5.518</v>
      </c>
      <c r="N247" s="1" t="n">
        <v>4.96</v>
      </c>
      <c r="O247" s="1" t="n">
        <v>2.418</v>
      </c>
      <c r="P247" s="1" t="n">
        <v>0.8782</v>
      </c>
      <c r="Q247" s="1" t="n">
        <v>25.99</v>
      </c>
      <c r="R247" s="1" t="n">
        <v>-0.1575</v>
      </c>
      <c r="S247" s="1" t="n">
        <v>0.5</v>
      </c>
      <c r="T247" s="5" t="n">
        <v>5.839E-006</v>
      </c>
      <c r="U247" s="5" t="n">
        <v>0.002106</v>
      </c>
      <c r="V247" s="1" t="n">
        <v>7.17</v>
      </c>
    </row>
    <row r="248" customFormat="false" ht="12.8" hidden="false" customHeight="false" outlineLevel="0" collapsed="false">
      <c r="A248" s="1" t="n">
        <v>30</v>
      </c>
      <c r="B248" s="4" t="s">
        <v>30</v>
      </c>
      <c r="C248" s="4" t="str">
        <f aca="false">IF(LEFT(E248,2)="S5","Spritz","Standard")</f>
        <v>Standard</v>
      </c>
      <c r="D248" s="4" t="n">
        <v>1</v>
      </c>
      <c r="E248" s="6" t="s">
        <v>32</v>
      </c>
      <c r="F248" s="1" t="s">
        <v>23</v>
      </c>
      <c r="G248" s="1" t="n">
        <v>763.1</v>
      </c>
      <c r="H248" s="1" t="n">
        <v>750.3</v>
      </c>
      <c r="I248" s="1" t="n">
        <v>23</v>
      </c>
      <c r="J248" s="1" t="n">
        <v>1</v>
      </c>
      <c r="K248" s="1" t="n">
        <v>7.95272</v>
      </c>
      <c r="L248" s="1" t="n">
        <v>0.3842</v>
      </c>
      <c r="M248" s="1" t="n">
        <v>4.831</v>
      </c>
      <c r="N248" s="1" t="n">
        <v>4.272</v>
      </c>
      <c r="O248" s="1" t="n">
        <v>2.254</v>
      </c>
      <c r="P248" s="1" t="n">
        <v>0.7688</v>
      </c>
      <c r="Q248" s="1" t="n">
        <v>27.82</v>
      </c>
      <c r="R248" s="1" t="n">
        <v>-0.1574</v>
      </c>
      <c r="S248" s="1" t="n">
        <v>0.5</v>
      </c>
      <c r="T248" s="5" t="n">
        <v>6.436E-006</v>
      </c>
      <c r="U248" s="5" t="n">
        <v>0.002651</v>
      </c>
      <c r="V248" s="1" t="n">
        <v>8.931</v>
      </c>
    </row>
    <row r="249" customFormat="false" ht="12.8" hidden="false" customHeight="false" outlineLevel="0" collapsed="false">
      <c r="A249" s="1" t="n">
        <v>31</v>
      </c>
      <c r="B249" s="4" t="s">
        <v>30</v>
      </c>
      <c r="C249" s="4" t="str">
        <f aca="false">IF(LEFT(E249,2)="S5","Spritz","Standard")</f>
        <v>Standard</v>
      </c>
      <c r="D249" s="4" t="n">
        <v>1</v>
      </c>
      <c r="E249" s="6" t="s">
        <v>32</v>
      </c>
      <c r="F249" s="1" t="s">
        <v>23</v>
      </c>
      <c r="G249" s="1" t="n">
        <v>788.1</v>
      </c>
      <c r="H249" s="1" t="n">
        <v>775.4</v>
      </c>
      <c r="I249" s="1" t="n">
        <v>23</v>
      </c>
      <c r="J249" s="1" t="n">
        <v>1</v>
      </c>
      <c r="K249" s="1" t="n">
        <v>10.0125</v>
      </c>
      <c r="L249" s="1" t="n">
        <v>0.4152</v>
      </c>
      <c r="M249" s="1" t="n">
        <v>4.147</v>
      </c>
      <c r="N249" s="1" t="n">
        <v>3.594</v>
      </c>
      <c r="O249" s="1" t="n">
        <v>2.07</v>
      </c>
      <c r="P249" s="1" t="n">
        <v>0.6601</v>
      </c>
      <c r="Q249" s="1" t="n">
        <v>29.95</v>
      </c>
      <c r="R249" s="1" t="n">
        <v>-0.1572</v>
      </c>
      <c r="S249" s="1" t="n">
        <v>0.5</v>
      </c>
      <c r="T249" s="5" t="n">
        <v>6.957E-006</v>
      </c>
      <c r="U249" s="5" t="n">
        <v>0.003338</v>
      </c>
      <c r="V249" s="1" t="n">
        <v>10.37</v>
      </c>
    </row>
    <row r="250" customFormat="false" ht="12.8" hidden="false" customHeight="false" outlineLevel="0" collapsed="false">
      <c r="A250" s="1" t="n">
        <v>1</v>
      </c>
      <c r="B250" s="4" t="s">
        <v>30</v>
      </c>
      <c r="C250" s="4" t="str">
        <f aca="false">IF(LEFT(E250,2)="S5","Spritz","Standard")</f>
        <v>Standard</v>
      </c>
      <c r="D250" s="4" t="n">
        <v>2</v>
      </c>
      <c r="E250" s="6" t="s">
        <v>33</v>
      </c>
      <c r="F250" s="1" t="s">
        <v>23</v>
      </c>
      <c r="G250" s="1" t="n">
        <v>37.2</v>
      </c>
      <c r="H250" s="1" t="n">
        <v>25</v>
      </c>
      <c r="I250" s="1" t="n">
        <v>23.05</v>
      </c>
      <c r="J250" s="1" t="n">
        <v>1</v>
      </c>
      <c r="K250" s="5" t="n">
        <v>0.00873252</v>
      </c>
      <c r="L250" s="5" t="n">
        <v>0.001515</v>
      </c>
      <c r="M250" s="1" t="n">
        <v>17.35</v>
      </c>
      <c r="N250" s="1" t="n">
        <v>16.24</v>
      </c>
      <c r="O250" s="1" t="n">
        <v>6.102</v>
      </c>
      <c r="P250" s="1" t="n">
        <v>2.761</v>
      </c>
      <c r="Q250" s="1" t="n">
        <v>20.59</v>
      </c>
      <c r="R250" s="1" t="n">
        <v>-0.1671</v>
      </c>
      <c r="S250" s="1" t="n">
        <v>0.5</v>
      </c>
      <c r="T250" s="5" t="n">
        <v>2.538E-008</v>
      </c>
      <c r="U250" s="5" t="n">
        <v>2.911E-006</v>
      </c>
      <c r="V250" s="1" t="n">
        <v>7.114</v>
      </c>
    </row>
    <row r="251" customFormat="false" ht="12.8" hidden="false" customHeight="false" outlineLevel="0" collapsed="false">
      <c r="A251" s="1" t="n">
        <v>2</v>
      </c>
      <c r="B251" s="4" t="s">
        <v>30</v>
      </c>
      <c r="C251" s="4" t="str">
        <f aca="false">IF(LEFT(E251,2)="S5","Spritz","Standard")</f>
        <v>Standard</v>
      </c>
      <c r="D251" s="4" t="n">
        <v>2</v>
      </c>
      <c r="E251" s="6" t="s">
        <v>33</v>
      </c>
      <c r="F251" s="1" t="s">
        <v>23</v>
      </c>
      <c r="G251" s="1" t="n">
        <v>62.22</v>
      </c>
      <c r="H251" s="1" t="n">
        <v>50.02</v>
      </c>
      <c r="I251" s="1" t="n">
        <v>23.04</v>
      </c>
      <c r="J251" s="1" t="n">
        <v>1</v>
      </c>
      <c r="K251" s="1" t="n">
        <v>0.0131898</v>
      </c>
      <c r="L251" s="5" t="n">
        <v>0.002238</v>
      </c>
      <c r="M251" s="1" t="n">
        <v>16.97</v>
      </c>
      <c r="N251" s="1" t="n">
        <v>16.15</v>
      </c>
      <c r="O251" s="1" t="n">
        <v>5.209</v>
      </c>
      <c r="P251" s="1" t="n">
        <v>2.701</v>
      </c>
      <c r="Q251" s="1" t="n">
        <v>17.87</v>
      </c>
      <c r="R251" s="1" t="n">
        <v>-0.1662</v>
      </c>
      <c r="S251" s="1" t="n">
        <v>0.5</v>
      </c>
      <c r="T251" s="5" t="n">
        <v>3.75E-008</v>
      </c>
      <c r="U251" s="5" t="n">
        <v>4.397E-006</v>
      </c>
      <c r="V251" s="1" t="n">
        <v>5.099</v>
      </c>
    </row>
    <row r="252" customFormat="false" ht="12.8" hidden="false" customHeight="false" outlineLevel="0" collapsed="false">
      <c r="A252" s="1" t="n">
        <v>3</v>
      </c>
      <c r="B252" s="4" t="s">
        <v>30</v>
      </c>
      <c r="C252" s="4" t="str">
        <f aca="false">IF(LEFT(E252,2)="S5","Spritz","Standard")</f>
        <v>Standard</v>
      </c>
      <c r="D252" s="4" t="n">
        <v>2</v>
      </c>
      <c r="E252" s="6" t="s">
        <v>33</v>
      </c>
      <c r="F252" s="1" t="s">
        <v>23</v>
      </c>
      <c r="G252" s="1" t="n">
        <v>87.23</v>
      </c>
      <c r="H252" s="1" t="n">
        <v>75.03</v>
      </c>
      <c r="I252" s="1" t="n">
        <v>23.03</v>
      </c>
      <c r="J252" s="1" t="n">
        <v>1</v>
      </c>
      <c r="K252" s="1" t="n">
        <v>0.0158884</v>
      </c>
      <c r="L252" s="5" t="n">
        <v>0.002687</v>
      </c>
      <c r="M252" s="1" t="n">
        <v>16.91</v>
      </c>
      <c r="N252" s="1" t="n">
        <v>16.15</v>
      </c>
      <c r="O252" s="1" t="n">
        <v>5.005</v>
      </c>
      <c r="P252" s="1" t="n">
        <v>2.692</v>
      </c>
      <c r="Q252" s="1" t="n">
        <v>17.22</v>
      </c>
      <c r="R252" s="1" t="n">
        <v>-0.1668</v>
      </c>
      <c r="S252" s="1" t="n">
        <v>0.5</v>
      </c>
      <c r="T252" s="5" t="n">
        <v>4.501E-008</v>
      </c>
      <c r="U252" s="5" t="n">
        <v>5.296E-006</v>
      </c>
      <c r="V252" s="1" t="n">
        <v>4.768</v>
      </c>
    </row>
    <row r="253" customFormat="false" ht="12.8" hidden="false" customHeight="false" outlineLevel="0" collapsed="false">
      <c r="A253" s="1" t="n">
        <v>4</v>
      </c>
      <c r="B253" s="4" t="s">
        <v>30</v>
      </c>
      <c r="C253" s="4" t="str">
        <f aca="false">IF(LEFT(E253,2)="S5","Spritz","Standard")</f>
        <v>Standard</v>
      </c>
      <c r="D253" s="4" t="n">
        <v>2</v>
      </c>
      <c r="E253" s="6" t="s">
        <v>33</v>
      </c>
      <c r="F253" s="1" t="s">
        <v>23</v>
      </c>
      <c r="G253" s="1" t="n">
        <v>112.2</v>
      </c>
      <c r="H253" s="1" t="n">
        <v>100</v>
      </c>
      <c r="I253" s="1" t="n">
        <v>23.02</v>
      </c>
      <c r="J253" s="1" t="n">
        <v>1</v>
      </c>
      <c r="K253" s="1" t="n">
        <v>0.0197661</v>
      </c>
      <c r="L253" s="5" t="n">
        <v>0.003313</v>
      </c>
      <c r="M253" s="1" t="n">
        <v>16.76</v>
      </c>
      <c r="N253" s="1" t="n">
        <v>16.05</v>
      </c>
      <c r="O253" s="1" t="n">
        <v>4.835</v>
      </c>
      <c r="P253" s="1" t="n">
        <v>2.668</v>
      </c>
      <c r="Q253" s="1" t="n">
        <v>16.77</v>
      </c>
      <c r="R253" s="1" t="n">
        <v>-0.1671</v>
      </c>
      <c r="S253" s="1" t="n">
        <v>0.5</v>
      </c>
      <c r="T253" s="5" t="n">
        <v>5.55E-008</v>
      </c>
      <c r="U253" s="5" t="n">
        <v>6.589E-006</v>
      </c>
      <c r="V253" s="1" t="n">
        <v>1.907</v>
      </c>
    </row>
    <row r="254" customFormat="false" ht="12.8" hidden="false" customHeight="false" outlineLevel="0" collapsed="false">
      <c r="A254" s="1" t="n">
        <v>5</v>
      </c>
      <c r="B254" s="4" t="s">
        <v>30</v>
      </c>
      <c r="C254" s="4" t="str">
        <f aca="false">IF(LEFT(E254,2)="S5","Spritz","Standard")</f>
        <v>Standard</v>
      </c>
      <c r="D254" s="4" t="n">
        <v>2</v>
      </c>
      <c r="E254" s="6" t="s">
        <v>33</v>
      </c>
      <c r="F254" s="1" t="s">
        <v>23</v>
      </c>
      <c r="G254" s="1" t="n">
        <v>137.3</v>
      </c>
      <c r="H254" s="1" t="n">
        <v>125.1</v>
      </c>
      <c r="I254" s="1" t="n">
        <v>23.01</v>
      </c>
      <c r="J254" s="1" t="n">
        <v>1</v>
      </c>
      <c r="K254" s="1" t="n">
        <v>0.0257396</v>
      </c>
      <c r="L254" s="5" t="n">
        <v>0.004222</v>
      </c>
      <c r="M254" s="1" t="n">
        <v>16.4</v>
      </c>
      <c r="N254" s="1" t="n">
        <v>15.79</v>
      </c>
      <c r="O254" s="1" t="n">
        <v>4.438</v>
      </c>
      <c r="P254" s="1" t="n">
        <v>2.611</v>
      </c>
      <c r="Q254" s="1" t="n">
        <v>15.7</v>
      </c>
      <c r="R254" s="1" t="n">
        <v>-0.1666</v>
      </c>
      <c r="S254" s="1" t="n">
        <v>0.5</v>
      </c>
      <c r="T254" s="5" t="n">
        <v>7.074E-008</v>
      </c>
      <c r="U254" s="5" t="n">
        <v>8.58E-006</v>
      </c>
      <c r="V254" s="1" t="n">
        <v>3.851</v>
      </c>
    </row>
    <row r="255" customFormat="false" ht="12.8" hidden="false" customHeight="false" outlineLevel="0" collapsed="false">
      <c r="A255" s="1" t="n">
        <v>6</v>
      </c>
      <c r="B255" s="4" t="s">
        <v>30</v>
      </c>
      <c r="C255" s="4" t="str">
        <f aca="false">IF(LEFT(E255,2)="S5","Spritz","Standard")</f>
        <v>Standard</v>
      </c>
      <c r="D255" s="4" t="n">
        <v>2</v>
      </c>
      <c r="E255" s="6" t="s">
        <v>33</v>
      </c>
      <c r="F255" s="1" t="s">
        <v>23</v>
      </c>
      <c r="G255" s="1" t="n">
        <v>162.3</v>
      </c>
      <c r="H255" s="1" t="n">
        <v>150.1</v>
      </c>
      <c r="I255" s="1" t="n">
        <v>23.01</v>
      </c>
      <c r="J255" s="1" t="n">
        <v>1</v>
      </c>
      <c r="K255" s="1" t="n">
        <v>0.0306502</v>
      </c>
      <c r="L255" s="5" t="n">
        <v>0.005061</v>
      </c>
      <c r="M255" s="1" t="n">
        <v>16.51</v>
      </c>
      <c r="N255" s="1" t="n">
        <v>16</v>
      </c>
      <c r="O255" s="1" t="n">
        <v>4.093</v>
      </c>
      <c r="P255" s="1" t="n">
        <v>2.628</v>
      </c>
      <c r="Q255" s="1" t="n">
        <v>14.35</v>
      </c>
      <c r="R255" s="1" t="n">
        <v>-0.1676</v>
      </c>
      <c r="S255" s="1" t="n">
        <v>0.5</v>
      </c>
      <c r="T255" s="5" t="n">
        <v>8.478E-008</v>
      </c>
      <c r="U255" s="5" t="n">
        <v>1.022E-005</v>
      </c>
      <c r="V255" s="1" t="n">
        <v>4.799</v>
      </c>
    </row>
    <row r="256" customFormat="false" ht="12.8" hidden="false" customHeight="false" outlineLevel="0" collapsed="false">
      <c r="A256" s="1" t="n">
        <v>7</v>
      </c>
      <c r="B256" s="4" t="s">
        <v>30</v>
      </c>
      <c r="C256" s="4" t="str">
        <f aca="false">IF(LEFT(E256,2)="S5","Spritz","Standard")</f>
        <v>Standard</v>
      </c>
      <c r="D256" s="4" t="n">
        <v>2</v>
      </c>
      <c r="E256" s="6" t="s">
        <v>33</v>
      </c>
      <c r="F256" s="1" t="s">
        <v>23</v>
      </c>
      <c r="G256" s="1" t="n">
        <v>187.3</v>
      </c>
      <c r="H256" s="1" t="n">
        <v>175.1</v>
      </c>
      <c r="I256" s="1" t="n">
        <v>23</v>
      </c>
      <c r="J256" s="1" t="n">
        <v>1</v>
      </c>
      <c r="K256" s="1" t="n">
        <v>0.0405016</v>
      </c>
      <c r="L256" s="5" t="n">
        <v>0.006586</v>
      </c>
      <c r="M256" s="1" t="n">
        <v>16.26</v>
      </c>
      <c r="N256" s="1" t="n">
        <v>15.75</v>
      </c>
      <c r="O256" s="1" t="n">
        <v>4.03</v>
      </c>
      <c r="P256" s="1" t="n">
        <v>2.588</v>
      </c>
      <c r="Q256" s="1" t="n">
        <v>14.35</v>
      </c>
      <c r="R256" s="1" t="n">
        <v>-0.1674</v>
      </c>
      <c r="S256" s="1" t="n">
        <v>0.5</v>
      </c>
      <c r="T256" s="5" t="n">
        <v>1.103E-007</v>
      </c>
      <c r="U256" s="5" t="n">
        <v>1.35E-005</v>
      </c>
      <c r="V256" s="1" t="n">
        <v>4.603</v>
      </c>
    </row>
    <row r="257" customFormat="false" ht="12.8" hidden="false" customHeight="false" outlineLevel="0" collapsed="false">
      <c r="A257" s="1" t="n">
        <v>8</v>
      </c>
      <c r="B257" s="4" t="s">
        <v>30</v>
      </c>
      <c r="C257" s="4" t="str">
        <f aca="false">IF(LEFT(E257,2)="S5","Spritz","Standard")</f>
        <v>Standard</v>
      </c>
      <c r="D257" s="4" t="n">
        <v>2</v>
      </c>
      <c r="E257" s="6" t="s">
        <v>33</v>
      </c>
      <c r="F257" s="1" t="s">
        <v>23</v>
      </c>
      <c r="G257" s="1" t="n">
        <v>212.3</v>
      </c>
      <c r="H257" s="1" t="n">
        <v>200.1</v>
      </c>
      <c r="I257" s="1" t="n">
        <v>22.99</v>
      </c>
      <c r="J257" s="1" t="n">
        <v>1</v>
      </c>
      <c r="K257" s="1" t="n">
        <v>0.0500247</v>
      </c>
      <c r="L257" s="5" t="n">
        <v>0.008016</v>
      </c>
      <c r="M257" s="1" t="n">
        <v>16.02</v>
      </c>
      <c r="N257" s="1" t="n">
        <v>15.54</v>
      </c>
      <c r="O257" s="1" t="n">
        <v>3.887</v>
      </c>
      <c r="P257" s="1" t="n">
        <v>2.55</v>
      </c>
      <c r="Q257" s="1" t="n">
        <v>14.04</v>
      </c>
      <c r="R257" s="1" t="n">
        <v>-0.1678</v>
      </c>
      <c r="S257" s="1" t="n">
        <v>0.5</v>
      </c>
      <c r="T257" s="5" t="n">
        <v>1.343E-007</v>
      </c>
      <c r="U257" s="5" t="n">
        <v>1.668E-005</v>
      </c>
      <c r="V257" s="1" t="n">
        <v>4.017</v>
      </c>
    </row>
    <row r="258" customFormat="false" ht="12.8" hidden="false" customHeight="false" outlineLevel="0" collapsed="false">
      <c r="A258" s="1" t="n">
        <v>9</v>
      </c>
      <c r="B258" s="4" t="s">
        <v>30</v>
      </c>
      <c r="C258" s="4" t="str">
        <f aca="false">IF(LEFT(E258,2)="S5","Spritz","Standard")</f>
        <v>Standard</v>
      </c>
      <c r="D258" s="4" t="n">
        <v>2</v>
      </c>
      <c r="E258" s="6" t="s">
        <v>33</v>
      </c>
      <c r="F258" s="1" t="s">
        <v>23</v>
      </c>
      <c r="G258" s="1" t="n">
        <v>237.3</v>
      </c>
      <c r="H258" s="1" t="n">
        <v>225.1</v>
      </c>
      <c r="I258" s="1" t="n">
        <v>22.99</v>
      </c>
      <c r="J258" s="1" t="n">
        <v>1</v>
      </c>
      <c r="K258" s="1" t="n">
        <v>0.0625217</v>
      </c>
      <c r="L258" s="5" t="n">
        <v>0.009862</v>
      </c>
      <c r="M258" s="1" t="n">
        <v>15.77</v>
      </c>
      <c r="N258" s="1" t="n">
        <v>15.35</v>
      </c>
      <c r="O258" s="1" t="n">
        <v>3.644</v>
      </c>
      <c r="P258" s="1" t="n">
        <v>2.511</v>
      </c>
      <c r="Q258" s="1" t="n">
        <v>13.36</v>
      </c>
      <c r="R258" s="1" t="n">
        <v>-0.1676</v>
      </c>
      <c r="S258" s="1" t="n">
        <v>0.5</v>
      </c>
      <c r="T258" s="5" t="n">
        <v>1.652E-007</v>
      </c>
      <c r="U258" s="5" t="n">
        <v>2.084E-005</v>
      </c>
      <c r="V258" s="1" t="n">
        <v>2.986</v>
      </c>
    </row>
    <row r="259" customFormat="false" ht="12.8" hidden="false" customHeight="false" outlineLevel="0" collapsed="false">
      <c r="A259" s="1" t="n">
        <v>10</v>
      </c>
      <c r="B259" s="4" t="s">
        <v>30</v>
      </c>
      <c r="C259" s="4" t="str">
        <f aca="false">IF(LEFT(E259,2)="S5","Spritz","Standard")</f>
        <v>Standard</v>
      </c>
      <c r="D259" s="4" t="n">
        <v>2</v>
      </c>
      <c r="E259" s="6" t="s">
        <v>33</v>
      </c>
      <c r="F259" s="1" t="s">
        <v>23</v>
      </c>
      <c r="G259" s="1" t="n">
        <v>262.3</v>
      </c>
      <c r="H259" s="1" t="n">
        <v>250.1</v>
      </c>
      <c r="I259" s="1" t="n">
        <v>22.99</v>
      </c>
      <c r="J259" s="1" t="n">
        <v>1</v>
      </c>
      <c r="K259" s="1" t="n">
        <v>0.0802638</v>
      </c>
      <c r="L259" s="1" t="n">
        <v>0.01245</v>
      </c>
      <c r="M259" s="1" t="n">
        <v>15.51</v>
      </c>
      <c r="N259" s="1" t="n">
        <v>15.11</v>
      </c>
      <c r="O259" s="1" t="n">
        <v>3.507</v>
      </c>
      <c r="P259" s="1" t="n">
        <v>2.468</v>
      </c>
      <c r="Q259" s="1" t="n">
        <v>13.07</v>
      </c>
      <c r="R259" s="1" t="n">
        <v>-0.1676</v>
      </c>
      <c r="S259" s="1" t="n">
        <v>0.5</v>
      </c>
      <c r="T259" s="5" t="n">
        <v>2.085E-007</v>
      </c>
      <c r="U259" s="5" t="n">
        <v>2.676E-005</v>
      </c>
      <c r="V259" s="1" t="n">
        <v>2.821</v>
      </c>
    </row>
    <row r="260" customFormat="false" ht="12.8" hidden="false" customHeight="false" outlineLevel="0" collapsed="false">
      <c r="A260" s="1" t="n">
        <v>11</v>
      </c>
      <c r="B260" s="4" t="s">
        <v>30</v>
      </c>
      <c r="C260" s="4" t="str">
        <f aca="false">IF(LEFT(E260,2)="S5","Spritz","Standard")</f>
        <v>Standard</v>
      </c>
      <c r="D260" s="4" t="n">
        <v>2</v>
      </c>
      <c r="E260" s="6" t="s">
        <v>33</v>
      </c>
      <c r="F260" s="1" t="s">
        <v>23</v>
      </c>
      <c r="G260" s="1" t="n">
        <v>287.3</v>
      </c>
      <c r="H260" s="1" t="n">
        <v>275.1</v>
      </c>
      <c r="I260" s="1" t="n">
        <v>22.98</v>
      </c>
      <c r="J260" s="1" t="n">
        <v>1</v>
      </c>
      <c r="K260" s="1" t="n">
        <v>0.0994191</v>
      </c>
      <c r="L260" s="1" t="n">
        <v>0.01509</v>
      </c>
      <c r="M260" s="1" t="n">
        <v>15.18</v>
      </c>
      <c r="N260" s="1" t="n">
        <v>14.81</v>
      </c>
      <c r="O260" s="1" t="n">
        <v>3.317</v>
      </c>
      <c r="P260" s="1" t="n">
        <v>2.415</v>
      </c>
      <c r="Q260" s="1" t="n">
        <v>12.63</v>
      </c>
      <c r="R260" s="1" t="n">
        <v>-0.1677</v>
      </c>
      <c r="S260" s="1" t="n">
        <v>0.5</v>
      </c>
      <c r="T260" s="5" t="n">
        <v>2.528E-007</v>
      </c>
      <c r="U260" s="5" t="n">
        <v>3.314E-005</v>
      </c>
      <c r="V260" s="1" t="n">
        <v>1.982</v>
      </c>
    </row>
    <row r="261" customFormat="false" ht="12.8" hidden="false" customHeight="false" outlineLevel="0" collapsed="false">
      <c r="A261" s="1" t="n">
        <v>12</v>
      </c>
      <c r="B261" s="4" t="s">
        <v>30</v>
      </c>
      <c r="C261" s="4" t="str">
        <f aca="false">IF(LEFT(E261,2)="S5","Spritz","Standard")</f>
        <v>Standard</v>
      </c>
      <c r="D261" s="4" t="n">
        <v>2</v>
      </c>
      <c r="E261" s="6" t="s">
        <v>33</v>
      </c>
      <c r="F261" s="1" t="s">
        <v>23</v>
      </c>
      <c r="G261" s="1" t="n">
        <v>312.3</v>
      </c>
      <c r="H261" s="1" t="n">
        <v>300.1</v>
      </c>
      <c r="I261" s="1" t="n">
        <v>22.99</v>
      </c>
      <c r="J261" s="1" t="n">
        <v>1</v>
      </c>
      <c r="K261" s="1" t="n">
        <v>0.126458</v>
      </c>
      <c r="L261" s="1" t="n">
        <v>0.01889</v>
      </c>
      <c r="M261" s="1" t="n">
        <v>14.94</v>
      </c>
      <c r="N261" s="1" t="n">
        <v>14.59</v>
      </c>
      <c r="O261" s="1" t="n">
        <v>3.22</v>
      </c>
      <c r="P261" s="1" t="n">
        <v>2.378</v>
      </c>
      <c r="Q261" s="1" t="n">
        <v>12.45</v>
      </c>
      <c r="R261" s="1" t="n">
        <v>-0.1677</v>
      </c>
      <c r="S261" s="1" t="n">
        <v>0.5</v>
      </c>
      <c r="T261" s="5" t="n">
        <v>3.165E-007</v>
      </c>
      <c r="U261" s="5" t="n">
        <v>4.215E-005</v>
      </c>
      <c r="V261" s="1" t="n">
        <v>1.086</v>
      </c>
    </row>
    <row r="262" customFormat="false" ht="12.8" hidden="false" customHeight="false" outlineLevel="0" collapsed="false">
      <c r="A262" s="1" t="n">
        <v>13</v>
      </c>
      <c r="B262" s="4" t="s">
        <v>30</v>
      </c>
      <c r="C262" s="4" t="str">
        <f aca="false">IF(LEFT(E262,2)="S5","Spritz","Standard")</f>
        <v>Standard</v>
      </c>
      <c r="D262" s="4" t="n">
        <v>2</v>
      </c>
      <c r="E262" s="6" t="s">
        <v>33</v>
      </c>
      <c r="F262" s="1" t="s">
        <v>23</v>
      </c>
      <c r="G262" s="1" t="n">
        <v>337.3</v>
      </c>
      <c r="H262" s="1" t="n">
        <v>325.2</v>
      </c>
      <c r="I262" s="1" t="n">
        <v>22.99</v>
      </c>
      <c r="J262" s="1" t="n">
        <v>1</v>
      </c>
      <c r="K262" s="1" t="n">
        <v>0.158856</v>
      </c>
      <c r="L262" s="1" t="n">
        <v>0.02316</v>
      </c>
      <c r="M262" s="1" t="n">
        <v>14.58</v>
      </c>
      <c r="N262" s="1" t="n">
        <v>14.24</v>
      </c>
      <c r="O262" s="1" t="n">
        <v>3.122</v>
      </c>
      <c r="P262" s="1" t="n">
        <v>2.32</v>
      </c>
      <c r="Q262" s="1" t="n">
        <v>12.37</v>
      </c>
      <c r="R262" s="1" t="n">
        <v>-0.1685</v>
      </c>
      <c r="S262" s="1" t="n">
        <v>0.5</v>
      </c>
      <c r="T262" s="5" t="n">
        <v>3.88E-007</v>
      </c>
      <c r="U262" s="5" t="n">
        <v>5.295E-005</v>
      </c>
      <c r="V262" s="1" t="n">
        <v>1.005</v>
      </c>
    </row>
    <row r="263" customFormat="false" ht="12.8" hidden="false" customHeight="false" outlineLevel="0" collapsed="false">
      <c r="A263" s="1" t="n">
        <v>14</v>
      </c>
      <c r="B263" s="4" t="s">
        <v>30</v>
      </c>
      <c r="C263" s="4" t="str">
        <f aca="false">IF(LEFT(E263,2)="S5","Spritz","Standard")</f>
        <v>Standard</v>
      </c>
      <c r="D263" s="4" t="n">
        <v>2</v>
      </c>
      <c r="E263" s="6" t="s">
        <v>33</v>
      </c>
      <c r="F263" s="1" t="s">
        <v>23</v>
      </c>
      <c r="G263" s="1" t="n">
        <v>362.4</v>
      </c>
      <c r="H263" s="1" t="n">
        <v>350.2</v>
      </c>
      <c r="I263" s="1" t="n">
        <v>23</v>
      </c>
      <c r="J263" s="1" t="n">
        <v>1</v>
      </c>
      <c r="K263" s="1" t="n">
        <v>0.199054</v>
      </c>
      <c r="L263" s="1" t="n">
        <v>0.02824</v>
      </c>
      <c r="M263" s="1" t="n">
        <v>14.19</v>
      </c>
      <c r="N263" s="1" t="n">
        <v>13.86</v>
      </c>
      <c r="O263" s="1" t="n">
        <v>3.038</v>
      </c>
      <c r="P263" s="1" t="n">
        <v>2.258</v>
      </c>
      <c r="Q263" s="1" t="n">
        <v>12.36</v>
      </c>
      <c r="R263" s="1" t="n">
        <v>-0.168</v>
      </c>
      <c r="S263" s="1" t="n">
        <v>0.5</v>
      </c>
      <c r="T263" s="5" t="n">
        <v>4.732E-007</v>
      </c>
      <c r="U263" s="5" t="n">
        <v>6.635E-005</v>
      </c>
      <c r="V263" s="1" t="n">
        <v>1.012</v>
      </c>
    </row>
    <row r="264" customFormat="false" ht="12.8" hidden="false" customHeight="false" outlineLevel="0" collapsed="false">
      <c r="A264" s="1" t="n">
        <v>15</v>
      </c>
      <c r="B264" s="4" t="s">
        <v>30</v>
      </c>
      <c r="C264" s="4" t="str">
        <f aca="false">IF(LEFT(E264,2)="S5","Spritz","Standard")</f>
        <v>Standard</v>
      </c>
      <c r="D264" s="4" t="n">
        <v>2</v>
      </c>
      <c r="E264" s="6" t="s">
        <v>33</v>
      </c>
      <c r="F264" s="1" t="s">
        <v>23</v>
      </c>
      <c r="G264" s="1" t="n">
        <v>387.4</v>
      </c>
      <c r="H264" s="1" t="n">
        <v>375.2</v>
      </c>
      <c r="I264" s="1" t="n">
        <v>22.99</v>
      </c>
      <c r="J264" s="1" t="n">
        <v>1</v>
      </c>
      <c r="K264" s="1" t="n">
        <v>0.251699</v>
      </c>
      <c r="L264" s="1" t="n">
        <v>0.03452</v>
      </c>
      <c r="M264" s="1" t="n">
        <v>13.72</v>
      </c>
      <c r="N264" s="1" t="n">
        <v>13.39</v>
      </c>
      <c r="O264" s="1" t="n">
        <v>2.974</v>
      </c>
      <c r="P264" s="1" t="n">
        <v>2.183</v>
      </c>
      <c r="Q264" s="1" t="n">
        <v>12.52</v>
      </c>
      <c r="R264" s="1" t="n">
        <v>-0.1685</v>
      </c>
      <c r="S264" s="1" t="n">
        <v>0.5</v>
      </c>
      <c r="T264" s="5" t="n">
        <v>5.784E-007</v>
      </c>
      <c r="U264" s="5" t="n">
        <v>8.39E-005</v>
      </c>
      <c r="V264" s="1" t="n">
        <v>1.321</v>
      </c>
    </row>
    <row r="265" customFormat="false" ht="12.8" hidden="false" customHeight="false" outlineLevel="0" collapsed="false">
      <c r="A265" s="1" t="n">
        <v>16</v>
      </c>
      <c r="B265" s="4" t="s">
        <v>30</v>
      </c>
      <c r="C265" s="4" t="str">
        <f aca="false">IF(LEFT(E265,2)="S5","Spritz","Standard")</f>
        <v>Standard</v>
      </c>
      <c r="D265" s="4" t="n">
        <v>2</v>
      </c>
      <c r="E265" s="6" t="s">
        <v>33</v>
      </c>
      <c r="F265" s="1" t="s">
        <v>23</v>
      </c>
      <c r="G265" s="1" t="n">
        <v>412.4</v>
      </c>
      <c r="H265" s="1" t="n">
        <v>400.2</v>
      </c>
      <c r="I265" s="1" t="n">
        <v>23</v>
      </c>
      <c r="J265" s="1" t="n">
        <v>1</v>
      </c>
      <c r="K265" s="1" t="n">
        <v>0.316311</v>
      </c>
      <c r="L265" s="1" t="n">
        <v>0.04168</v>
      </c>
      <c r="M265" s="1" t="n">
        <v>13.18</v>
      </c>
      <c r="N265" s="1" t="n">
        <v>12.84</v>
      </c>
      <c r="O265" s="1" t="n">
        <v>2.956</v>
      </c>
      <c r="P265" s="1" t="n">
        <v>2.097</v>
      </c>
      <c r="Q265" s="1" t="n">
        <v>12.97</v>
      </c>
      <c r="R265" s="1" t="n">
        <v>-0.1679</v>
      </c>
      <c r="S265" s="1" t="n">
        <v>0.5</v>
      </c>
      <c r="T265" s="5" t="n">
        <v>6.982E-007</v>
      </c>
      <c r="U265" s="5" t="n">
        <v>0.0001054</v>
      </c>
      <c r="V265" s="1" t="n">
        <v>1.448</v>
      </c>
    </row>
    <row r="266" customFormat="false" ht="12.8" hidden="false" customHeight="false" outlineLevel="0" collapsed="false">
      <c r="A266" s="1" t="n">
        <v>17</v>
      </c>
      <c r="B266" s="4" t="s">
        <v>30</v>
      </c>
      <c r="C266" s="4" t="str">
        <f aca="false">IF(LEFT(E266,2)="S5","Spritz","Standard")</f>
        <v>Standard</v>
      </c>
      <c r="D266" s="4" t="n">
        <v>2</v>
      </c>
      <c r="E266" s="6" t="s">
        <v>33</v>
      </c>
      <c r="F266" s="1" t="s">
        <v>23</v>
      </c>
      <c r="G266" s="1" t="n">
        <v>437.4</v>
      </c>
      <c r="H266" s="1" t="n">
        <v>425.2</v>
      </c>
      <c r="I266" s="1" t="n">
        <v>23</v>
      </c>
      <c r="J266" s="1" t="n">
        <v>1</v>
      </c>
      <c r="K266" s="1" t="n">
        <v>0.39758</v>
      </c>
      <c r="L266" s="1" t="n">
        <v>0.05002</v>
      </c>
      <c r="M266" s="1" t="n">
        <v>12.58</v>
      </c>
      <c r="N266" s="1" t="n">
        <v>12.24</v>
      </c>
      <c r="O266" s="1" t="n">
        <v>2.906</v>
      </c>
      <c r="P266" s="1" t="n">
        <v>2.002</v>
      </c>
      <c r="Q266" s="1" t="n">
        <v>13.35</v>
      </c>
      <c r="R266" s="1" t="n">
        <v>-0.1695</v>
      </c>
      <c r="S266" s="1" t="n">
        <v>0.5</v>
      </c>
      <c r="T266" s="5" t="n">
        <v>8.38E-007</v>
      </c>
      <c r="U266" s="5" t="n">
        <v>0.0001325</v>
      </c>
      <c r="V266" s="1" t="n">
        <v>1.475</v>
      </c>
    </row>
    <row r="267" customFormat="false" ht="12.8" hidden="false" customHeight="false" outlineLevel="0" collapsed="false">
      <c r="A267" s="1" t="n">
        <v>18</v>
      </c>
      <c r="B267" s="4" t="s">
        <v>30</v>
      </c>
      <c r="C267" s="4" t="str">
        <f aca="false">IF(LEFT(E267,2)="S5","Spritz","Standard")</f>
        <v>Standard</v>
      </c>
      <c r="D267" s="4" t="n">
        <v>2</v>
      </c>
      <c r="E267" s="6" t="s">
        <v>33</v>
      </c>
      <c r="F267" s="1" t="s">
        <v>23</v>
      </c>
      <c r="G267" s="1" t="n">
        <v>462.4</v>
      </c>
      <c r="H267" s="1" t="n">
        <v>450.2</v>
      </c>
      <c r="I267" s="1" t="n">
        <v>23</v>
      </c>
      <c r="J267" s="1" t="n">
        <v>1</v>
      </c>
      <c r="K267" s="1" t="n">
        <v>0.50198</v>
      </c>
      <c r="L267" s="1" t="n">
        <v>0.05987</v>
      </c>
      <c r="M267" s="1" t="n">
        <v>11.93</v>
      </c>
      <c r="N267" s="1" t="n">
        <v>11.57</v>
      </c>
      <c r="O267" s="1" t="n">
        <v>2.899</v>
      </c>
      <c r="P267" s="1" t="n">
        <v>1.898</v>
      </c>
      <c r="Q267" s="1" t="n">
        <v>14.07</v>
      </c>
      <c r="R267" s="1" t="n">
        <v>-0.1691</v>
      </c>
      <c r="S267" s="1" t="n">
        <v>0.5</v>
      </c>
      <c r="T267" s="5" t="n">
        <v>1.003E-006</v>
      </c>
      <c r="U267" s="5" t="n">
        <v>0.0001673</v>
      </c>
      <c r="V267" s="1" t="n">
        <v>1.576</v>
      </c>
    </row>
    <row r="268" customFormat="false" ht="12.8" hidden="false" customHeight="false" outlineLevel="0" collapsed="false">
      <c r="A268" s="1" t="n">
        <v>19</v>
      </c>
      <c r="B268" s="4" t="s">
        <v>30</v>
      </c>
      <c r="C268" s="4" t="str">
        <f aca="false">IF(LEFT(E268,2)="S5","Spritz","Standard")</f>
        <v>Standard</v>
      </c>
      <c r="D268" s="4" t="n">
        <v>2</v>
      </c>
      <c r="E268" s="6" t="s">
        <v>33</v>
      </c>
      <c r="F268" s="1" t="s">
        <v>23</v>
      </c>
      <c r="G268" s="1" t="n">
        <v>487.4</v>
      </c>
      <c r="H268" s="1" t="n">
        <v>475.2</v>
      </c>
      <c r="I268" s="1" t="n">
        <v>23</v>
      </c>
      <c r="J268" s="1" t="n">
        <v>1</v>
      </c>
      <c r="K268" s="1" t="n">
        <v>0.630993</v>
      </c>
      <c r="L268" s="1" t="n">
        <v>0.07114</v>
      </c>
      <c r="M268" s="1" t="n">
        <v>11.27</v>
      </c>
      <c r="N268" s="1" t="n">
        <v>10.9</v>
      </c>
      <c r="O268" s="1" t="n">
        <v>2.875</v>
      </c>
      <c r="P268" s="1" t="n">
        <v>1.794</v>
      </c>
      <c r="Q268" s="1" t="n">
        <v>14.77</v>
      </c>
      <c r="R268" s="1" t="n">
        <v>-0.17</v>
      </c>
      <c r="S268" s="1" t="n">
        <v>0.5</v>
      </c>
      <c r="T268" s="5" t="n">
        <v>1.192E-006</v>
      </c>
      <c r="U268" s="5" t="n">
        <v>0.0002103</v>
      </c>
      <c r="V268" s="1" t="n">
        <v>1.528</v>
      </c>
    </row>
    <row r="269" customFormat="false" ht="12.8" hidden="false" customHeight="false" outlineLevel="0" collapsed="false">
      <c r="A269" s="1" t="n">
        <v>20</v>
      </c>
      <c r="B269" s="4" t="s">
        <v>30</v>
      </c>
      <c r="C269" s="4" t="str">
        <f aca="false">IF(LEFT(E269,2)="S5","Spritz","Standard")</f>
        <v>Standard</v>
      </c>
      <c r="D269" s="4" t="n">
        <v>2</v>
      </c>
      <c r="E269" s="6" t="s">
        <v>33</v>
      </c>
      <c r="F269" s="1" t="s">
        <v>23</v>
      </c>
      <c r="G269" s="1" t="n">
        <v>512.4</v>
      </c>
      <c r="H269" s="1" t="n">
        <v>500.3</v>
      </c>
      <c r="I269" s="1" t="n">
        <v>23</v>
      </c>
      <c r="J269" s="1" t="n">
        <v>1</v>
      </c>
      <c r="K269" s="1" t="n">
        <v>0.793906</v>
      </c>
      <c r="L269" s="1" t="n">
        <v>0.0839</v>
      </c>
      <c r="M269" s="1" t="n">
        <v>10.57</v>
      </c>
      <c r="N269" s="1" t="n">
        <v>10.18</v>
      </c>
      <c r="O269" s="1" t="n">
        <v>2.831</v>
      </c>
      <c r="P269" s="1" t="n">
        <v>1.682</v>
      </c>
      <c r="Q269" s="1" t="n">
        <v>15.54</v>
      </c>
      <c r="R269" s="1" t="n">
        <v>-0.169</v>
      </c>
      <c r="S269" s="1" t="n">
        <v>0.5</v>
      </c>
      <c r="T269" s="5" t="n">
        <v>1.406E-006</v>
      </c>
      <c r="U269" s="5" t="n">
        <v>0.0002646</v>
      </c>
      <c r="V269" s="1" t="n">
        <v>1.68</v>
      </c>
    </row>
    <row r="270" customFormat="false" ht="12.8" hidden="false" customHeight="false" outlineLevel="0" collapsed="false">
      <c r="A270" s="1" t="n">
        <v>21</v>
      </c>
      <c r="B270" s="4" t="s">
        <v>30</v>
      </c>
      <c r="C270" s="4" t="str">
        <f aca="false">IF(LEFT(E270,2)="S5","Spritz","Standard")</f>
        <v>Standard</v>
      </c>
      <c r="D270" s="4" t="n">
        <v>2</v>
      </c>
      <c r="E270" s="6" t="s">
        <v>33</v>
      </c>
      <c r="F270" s="1" t="s">
        <v>23</v>
      </c>
      <c r="G270" s="1" t="n">
        <v>537.5</v>
      </c>
      <c r="H270" s="1" t="n">
        <v>525.3</v>
      </c>
      <c r="I270" s="1" t="n">
        <v>23</v>
      </c>
      <c r="J270" s="1" t="n">
        <v>1</v>
      </c>
      <c r="K270" s="1" t="n">
        <v>1.00128</v>
      </c>
      <c r="L270" s="1" t="n">
        <v>0.09852</v>
      </c>
      <c r="M270" s="1" t="n">
        <v>9.839</v>
      </c>
      <c r="N270" s="1" t="n">
        <v>9.436</v>
      </c>
      <c r="O270" s="1" t="n">
        <v>2.788</v>
      </c>
      <c r="P270" s="1" t="n">
        <v>1.566</v>
      </c>
      <c r="Q270" s="1" t="n">
        <v>16.46</v>
      </c>
      <c r="R270" s="1" t="n">
        <v>-0.1697</v>
      </c>
      <c r="S270" s="1" t="n">
        <v>0.5</v>
      </c>
      <c r="T270" s="5" t="n">
        <v>1.65E-006</v>
      </c>
      <c r="U270" s="5" t="n">
        <v>0.0003338</v>
      </c>
      <c r="V270" s="1" t="n">
        <v>1.736</v>
      </c>
    </row>
    <row r="271" customFormat="false" ht="12.8" hidden="false" customHeight="false" outlineLevel="0" collapsed="false">
      <c r="A271" s="1" t="n">
        <v>22</v>
      </c>
      <c r="B271" s="4" t="s">
        <v>30</v>
      </c>
      <c r="C271" s="4" t="str">
        <f aca="false">IF(LEFT(E271,2)="S5","Spritz","Standard")</f>
        <v>Standard</v>
      </c>
      <c r="D271" s="4" t="n">
        <v>2</v>
      </c>
      <c r="E271" s="6" t="s">
        <v>33</v>
      </c>
      <c r="F271" s="1" t="s">
        <v>23</v>
      </c>
      <c r="G271" s="1" t="n">
        <v>562.5</v>
      </c>
      <c r="H271" s="1" t="n">
        <v>550.3</v>
      </c>
      <c r="I271" s="1" t="n">
        <v>23</v>
      </c>
      <c r="J271" s="1" t="n">
        <v>1</v>
      </c>
      <c r="K271" s="1" t="n">
        <v>1.26061</v>
      </c>
      <c r="L271" s="1" t="n">
        <v>0.1142</v>
      </c>
      <c r="M271" s="1" t="n">
        <v>9.061</v>
      </c>
      <c r="N271" s="1" t="n">
        <v>8.642</v>
      </c>
      <c r="O271" s="1" t="n">
        <v>2.725</v>
      </c>
      <c r="P271" s="1" t="n">
        <v>1.442</v>
      </c>
      <c r="Q271" s="1" t="n">
        <v>17.5</v>
      </c>
      <c r="R271" s="1" t="n">
        <v>-0.1699</v>
      </c>
      <c r="S271" s="1" t="n">
        <v>0.5</v>
      </c>
      <c r="T271" s="5" t="n">
        <v>1.914E-006</v>
      </c>
      <c r="U271" s="5" t="n">
        <v>0.0004202</v>
      </c>
      <c r="V271" s="1" t="n">
        <v>2.066</v>
      </c>
    </row>
    <row r="272" customFormat="false" ht="12.8" hidden="false" customHeight="false" outlineLevel="0" collapsed="false">
      <c r="A272" s="1" t="n">
        <v>23</v>
      </c>
      <c r="B272" s="4" t="s">
        <v>30</v>
      </c>
      <c r="C272" s="4" t="str">
        <f aca="false">IF(LEFT(E272,2)="S5","Spritz","Standard")</f>
        <v>Standard</v>
      </c>
      <c r="D272" s="4" t="n">
        <v>2</v>
      </c>
      <c r="E272" s="6" t="s">
        <v>33</v>
      </c>
      <c r="F272" s="1" t="s">
        <v>23</v>
      </c>
      <c r="G272" s="1" t="n">
        <v>587.5</v>
      </c>
      <c r="H272" s="1" t="n">
        <v>575.3</v>
      </c>
      <c r="I272" s="1" t="n">
        <v>23</v>
      </c>
      <c r="J272" s="1" t="n">
        <v>1</v>
      </c>
      <c r="K272" s="1" t="n">
        <v>1.58615</v>
      </c>
      <c r="L272" s="1" t="n">
        <v>0.1304</v>
      </c>
      <c r="M272" s="1" t="n">
        <v>8.221</v>
      </c>
      <c r="N272" s="1" t="n">
        <v>7.778</v>
      </c>
      <c r="O272" s="1" t="n">
        <v>2.661</v>
      </c>
      <c r="P272" s="1" t="n">
        <v>1.308</v>
      </c>
      <c r="Q272" s="1" t="n">
        <v>18.89</v>
      </c>
      <c r="R272" s="1" t="n">
        <v>-0.1706</v>
      </c>
      <c r="S272" s="1" t="n">
        <v>0.5</v>
      </c>
      <c r="T272" s="5" t="n">
        <v>2.184E-006</v>
      </c>
      <c r="U272" s="5" t="n">
        <v>0.0005287</v>
      </c>
      <c r="V272" s="1" t="n">
        <v>2.637</v>
      </c>
    </row>
    <row r="273" customFormat="false" ht="12.8" hidden="false" customHeight="false" outlineLevel="0" collapsed="false">
      <c r="A273" s="1" t="n">
        <v>24</v>
      </c>
      <c r="B273" s="4" t="s">
        <v>30</v>
      </c>
      <c r="C273" s="4" t="str">
        <f aca="false">IF(LEFT(E273,2)="S5","Spritz","Standard")</f>
        <v>Standard</v>
      </c>
      <c r="D273" s="4" t="n">
        <v>2</v>
      </c>
      <c r="E273" s="6" t="s">
        <v>33</v>
      </c>
      <c r="F273" s="1" t="s">
        <v>23</v>
      </c>
      <c r="G273" s="1" t="n">
        <v>612.5</v>
      </c>
      <c r="H273" s="1" t="n">
        <v>600.3</v>
      </c>
      <c r="I273" s="1" t="n">
        <v>23</v>
      </c>
      <c r="J273" s="1" t="n">
        <v>1</v>
      </c>
      <c r="K273" s="1" t="n">
        <v>1.99781</v>
      </c>
      <c r="L273" s="1" t="n">
        <v>0.1479</v>
      </c>
      <c r="M273" s="1" t="n">
        <v>7.406</v>
      </c>
      <c r="N273" s="1" t="n">
        <v>6.944</v>
      </c>
      <c r="O273" s="1" t="n">
        <v>2.573</v>
      </c>
      <c r="P273" s="1" t="n">
        <v>1.179</v>
      </c>
      <c r="Q273" s="1" t="n">
        <v>20.33</v>
      </c>
      <c r="R273" s="1" t="n">
        <v>-0.1709</v>
      </c>
      <c r="S273" s="1" t="n">
        <v>0.5</v>
      </c>
      <c r="T273" s="5" t="n">
        <v>2.479E-006</v>
      </c>
      <c r="U273" s="5" t="n">
        <v>0.000666</v>
      </c>
      <c r="V273" s="1" t="n">
        <v>3.773</v>
      </c>
    </row>
    <row r="274" customFormat="false" ht="12.8" hidden="false" customHeight="false" outlineLevel="0" collapsed="false">
      <c r="A274" s="1" t="n">
        <v>25</v>
      </c>
      <c r="B274" s="4" t="s">
        <v>30</v>
      </c>
      <c r="C274" s="4" t="str">
        <f aca="false">IF(LEFT(E274,2)="S5","Spritz","Standard")</f>
        <v>Standard</v>
      </c>
      <c r="D274" s="4" t="n">
        <v>2</v>
      </c>
      <c r="E274" s="6" t="s">
        <v>33</v>
      </c>
      <c r="F274" s="1" t="s">
        <v>23</v>
      </c>
      <c r="G274" s="1" t="n">
        <v>637.5</v>
      </c>
      <c r="H274" s="1" t="n">
        <v>625.3</v>
      </c>
      <c r="I274" s="1" t="n">
        <v>23</v>
      </c>
      <c r="J274" s="1" t="n">
        <v>1</v>
      </c>
      <c r="K274" s="1" t="n">
        <v>2.51671</v>
      </c>
      <c r="L274" s="1" t="n">
        <v>0.1664</v>
      </c>
      <c r="M274" s="1" t="n">
        <v>6.612</v>
      </c>
      <c r="N274" s="1" t="n">
        <v>6.134</v>
      </c>
      <c r="O274" s="1" t="n">
        <v>2.466</v>
      </c>
      <c r="P274" s="1" t="n">
        <v>1.052</v>
      </c>
      <c r="Q274" s="1" t="n">
        <v>21.9</v>
      </c>
      <c r="R274" s="1" t="n">
        <v>-0.1706</v>
      </c>
      <c r="S274" s="1" t="n">
        <v>0.5</v>
      </c>
      <c r="T274" s="5" t="n">
        <v>2.788E-006</v>
      </c>
      <c r="U274" s="5" t="n">
        <v>0.0008389</v>
      </c>
      <c r="V274" s="1" t="n">
        <v>4.745</v>
      </c>
    </row>
    <row r="275" customFormat="false" ht="12.8" hidden="false" customHeight="false" outlineLevel="0" collapsed="false">
      <c r="A275" s="1" t="n">
        <v>26</v>
      </c>
      <c r="B275" s="4" t="s">
        <v>30</v>
      </c>
      <c r="C275" s="4" t="str">
        <f aca="false">IF(LEFT(E275,2)="S5","Spritz","Standard")</f>
        <v>Standard</v>
      </c>
      <c r="D275" s="4" t="n">
        <v>2</v>
      </c>
      <c r="E275" s="6" t="s">
        <v>33</v>
      </c>
      <c r="F275" s="1" t="s">
        <v>23</v>
      </c>
      <c r="G275" s="1" t="n">
        <v>662.5</v>
      </c>
      <c r="H275" s="1" t="n">
        <v>650.3</v>
      </c>
      <c r="I275" s="1" t="n">
        <v>23</v>
      </c>
      <c r="J275" s="1" t="n">
        <v>1</v>
      </c>
      <c r="K275" s="1" t="n">
        <v>3.16779</v>
      </c>
      <c r="L275" s="1" t="n">
        <v>0.1842</v>
      </c>
      <c r="M275" s="1" t="n">
        <v>5.814</v>
      </c>
      <c r="N275" s="1" t="n">
        <v>5.339</v>
      </c>
      <c r="O275" s="1" t="n">
        <v>2.303</v>
      </c>
      <c r="P275" s="1" t="n">
        <v>0.9254</v>
      </c>
      <c r="Q275" s="1" t="n">
        <v>23.33</v>
      </c>
      <c r="R275" s="1" t="n">
        <v>-0.1707</v>
      </c>
      <c r="S275" s="1" t="n">
        <v>0.5</v>
      </c>
      <c r="T275" s="5" t="n">
        <v>3.086E-006</v>
      </c>
      <c r="U275" s="5" t="n">
        <v>0.001056</v>
      </c>
      <c r="V275" s="1" t="n">
        <v>6.02</v>
      </c>
    </row>
    <row r="276" customFormat="false" ht="12.8" hidden="false" customHeight="false" outlineLevel="0" collapsed="false">
      <c r="A276" s="1" t="n">
        <v>27</v>
      </c>
      <c r="B276" s="4" t="s">
        <v>30</v>
      </c>
      <c r="C276" s="4" t="str">
        <f aca="false">IF(LEFT(E276,2)="S5","Spritz","Standard")</f>
        <v>Standard</v>
      </c>
      <c r="D276" s="4" t="n">
        <v>2</v>
      </c>
      <c r="E276" s="6" t="s">
        <v>33</v>
      </c>
      <c r="F276" s="1" t="s">
        <v>23</v>
      </c>
      <c r="G276" s="1" t="n">
        <v>687.5</v>
      </c>
      <c r="H276" s="1" t="n">
        <v>675.3</v>
      </c>
      <c r="I276" s="1" t="n">
        <v>23</v>
      </c>
      <c r="J276" s="1" t="n">
        <v>1</v>
      </c>
      <c r="K276" s="1" t="n">
        <v>3.98535</v>
      </c>
      <c r="L276" s="1" t="n">
        <v>0.203</v>
      </c>
      <c r="M276" s="1" t="n">
        <v>5.093</v>
      </c>
      <c r="N276" s="1" t="n">
        <v>4.621</v>
      </c>
      <c r="O276" s="1" t="n">
        <v>2.142</v>
      </c>
      <c r="P276" s="1" t="n">
        <v>0.8107</v>
      </c>
      <c r="Q276" s="1" t="n">
        <v>24.86</v>
      </c>
      <c r="R276" s="1" t="n">
        <v>-0.1707</v>
      </c>
      <c r="S276" s="1" t="n">
        <v>0.5</v>
      </c>
      <c r="T276" s="5" t="n">
        <v>3.401E-006</v>
      </c>
      <c r="U276" s="5" t="n">
        <v>0.001329</v>
      </c>
      <c r="V276" s="1" t="n">
        <v>8.065</v>
      </c>
    </row>
    <row r="277" customFormat="false" ht="12.8" hidden="false" customHeight="false" outlineLevel="0" collapsed="false">
      <c r="A277" s="1" t="n">
        <v>28</v>
      </c>
      <c r="B277" s="4" t="s">
        <v>30</v>
      </c>
      <c r="C277" s="4" t="str">
        <f aca="false">IF(LEFT(E277,2)="S5","Spritz","Standard")</f>
        <v>Standard</v>
      </c>
      <c r="D277" s="4" t="n">
        <v>2</v>
      </c>
      <c r="E277" s="6" t="s">
        <v>33</v>
      </c>
      <c r="F277" s="1" t="s">
        <v>23</v>
      </c>
      <c r="G277" s="1" t="n">
        <v>712.5</v>
      </c>
      <c r="H277" s="1" t="n">
        <v>700.3</v>
      </c>
      <c r="I277" s="1" t="n">
        <v>23</v>
      </c>
      <c r="J277" s="1" t="n">
        <v>1</v>
      </c>
      <c r="K277" s="1" t="n">
        <v>5.01743</v>
      </c>
      <c r="L277" s="1" t="n">
        <v>0.2222</v>
      </c>
      <c r="M277" s="1" t="n">
        <v>4.429</v>
      </c>
      <c r="N277" s="1" t="n">
        <v>3.968</v>
      </c>
      <c r="O277" s="1" t="n">
        <v>1.966</v>
      </c>
      <c r="P277" s="1" t="n">
        <v>0.7048</v>
      </c>
      <c r="Q277" s="1" t="n">
        <v>26.36</v>
      </c>
      <c r="R277" s="1" t="n">
        <v>-0.1715</v>
      </c>
      <c r="S277" s="1" t="n">
        <v>0.5</v>
      </c>
      <c r="T277" s="5" t="n">
        <v>3.723E-006</v>
      </c>
      <c r="U277" s="5" t="n">
        <v>0.001673</v>
      </c>
      <c r="V277" s="1" t="n">
        <v>8.701</v>
      </c>
    </row>
    <row r="278" customFormat="false" ht="12.8" hidden="false" customHeight="false" outlineLevel="0" collapsed="false">
      <c r="A278" s="1" t="n">
        <v>29</v>
      </c>
      <c r="B278" s="4" t="s">
        <v>30</v>
      </c>
      <c r="C278" s="4" t="str">
        <f aca="false">IF(LEFT(E278,2)="S5","Spritz","Standard")</f>
        <v>Standard</v>
      </c>
      <c r="D278" s="4" t="n">
        <v>2</v>
      </c>
      <c r="E278" s="6" t="s">
        <v>33</v>
      </c>
      <c r="F278" s="1" t="s">
        <v>23</v>
      </c>
      <c r="G278" s="1" t="n">
        <v>737.5</v>
      </c>
      <c r="H278" s="1" t="n">
        <v>725.3</v>
      </c>
      <c r="I278" s="1" t="n">
        <v>23</v>
      </c>
      <c r="J278" s="1" t="n">
        <v>1</v>
      </c>
      <c r="K278" s="1" t="n">
        <v>6.31534</v>
      </c>
      <c r="L278" s="1" t="n">
        <v>0.2435</v>
      </c>
      <c r="M278" s="1" t="n">
        <v>3.856</v>
      </c>
      <c r="N278" s="1" t="n">
        <v>3.405</v>
      </c>
      <c r="O278" s="1" t="n">
        <v>1.808</v>
      </c>
      <c r="P278" s="1" t="n">
        <v>0.6136</v>
      </c>
      <c r="Q278" s="1" t="n">
        <v>27.97</v>
      </c>
      <c r="R278" s="1" t="n">
        <v>-0.1714</v>
      </c>
      <c r="S278" s="1" t="n">
        <v>0.5</v>
      </c>
      <c r="T278" s="5" t="n">
        <v>4.079E-006</v>
      </c>
      <c r="U278" s="5" t="n">
        <v>0.002105</v>
      </c>
      <c r="V278" s="1" t="n">
        <v>9.228</v>
      </c>
    </row>
    <row r="279" customFormat="false" ht="12.8" hidden="false" customHeight="false" outlineLevel="0" collapsed="false">
      <c r="A279" s="1" t="n">
        <v>30</v>
      </c>
      <c r="B279" s="4" t="s">
        <v>30</v>
      </c>
      <c r="C279" s="4" t="str">
        <f aca="false">IF(LEFT(E279,2)="S5","Spritz","Standard")</f>
        <v>Standard</v>
      </c>
      <c r="D279" s="4" t="n">
        <v>2</v>
      </c>
      <c r="E279" s="6" t="s">
        <v>33</v>
      </c>
      <c r="F279" s="1" t="s">
        <v>23</v>
      </c>
      <c r="G279" s="1" t="n">
        <v>762.6</v>
      </c>
      <c r="H279" s="1" t="n">
        <v>750.4</v>
      </c>
      <c r="I279" s="1" t="n">
        <v>23</v>
      </c>
      <c r="J279" s="1" t="n">
        <v>1</v>
      </c>
      <c r="K279" s="1" t="n">
        <v>7.95663</v>
      </c>
      <c r="L279" s="1" t="n">
        <v>0.2656</v>
      </c>
      <c r="M279" s="1" t="n">
        <v>3.338</v>
      </c>
      <c r="N279" s="1" t="n">
        <v>2.894</v>
      </c>
      <c r="O279" s="1" t="n">
        <v>1.664</v>
      </c>
      <c r="P279" s="1" t="n">
        <v>0.5313</v>
      </c>
      <c r="Q279" s="1" t="n">
        <v>29.9</v>
      </c>
      <c r="R279" s="1" t="n">
        <v>-0.1715</v>
      </c>
      <c r="S279" s="1" t="n">
        <v>0.5</v>
      </c>
      <c r="T279" s="5" t="n">
        <v>4.45E-006</v>
      </c>
      <c r="U279" s="5" t="n">
        <v>0.002652</v>
      </c>
      <c r="V279" s="1" t="n">
        <v>11.5</v>
      </c>
    </row>
    <row r="280" customFormat="false" ht="12.8" hidden="false" customHeight="false" outlineLevel="0" collapsed="false">
      <c r="A280" s="1" t="n">
        <v>31</v>
      </c>
      <c r="B280" s="4" t="s">
        <v>30</v>
      </c>
      <c r="C280" s="4" t="str">
        <f aca="false">IF(LEFT(E280,2)="S5","Spritz","Standard")</f>
        <v>Standard</v>
      </c>
      <c r="D280" s="4" t="n">
        <v>2</v>
      </c>
      <c r="E280" s="6" t="s">
        <v>33</v>
      </c>
      <c r="F280" s="1" t="s">
        <v>23</v>
      </c>
      <c r="G280" s="1" t="n">
        <v>787.6</v>
      </c>
      <c r="H280" s="1" t="n">
        <v>775.4</v>
      </c>
      <c r="I280" s="1" t="n">
        <v>23</v>
      </c>
      <c r="J280" s="1" t="n">
        <v>1</v>
      </c>
      <c r="K280" s="1" t="n">
        <v>10.012</v>
      </c>
      <c r="L280" s="1" t="n">
        <v>0.2858</v>
      </c>
      <c r="M280" s="1" t="n">
        <v>2.855</v>
      </c>
      <c r="N280" s="1" t="n">
        <v>2.432</v>
      </c>
      <c r="O280" s="1" t="n">
        <v>1.495</v>
      </c>
      <c r="P280" s="1" t="n">
        <v>0.4543</v>
      </c>
      <c r="Q280" s="1" t="n">
        <v>31.58</v>
      </c>
      <c r="R280" s="1" t="n">
        <v>-0.1712</v>
      </c>
      <c r="S280" s="1" t="n">
        <v>0.5</v>
      </c>
      <c r="T280" s="5" t="n">
        <v>4.788E-006</v>
      </c>
      <c r="U280" s="5" t="n">
        <v>0.003337</v>
      </c>
      <c r="V280" s="1" t="n">
        <v>12.72</v>
      </c>
    </row>
    <row r="281" customFormat="false" ht="12.8" hidden="false" customHeight="false" outlineLevel="0" collapsed="false">
      <c r="A281" s="1" t="n">
        <v>1</v>
      </c>
      <c r="B281" s="4" t="s">
        <v>34</v>
      </c>
      <c r="C281" s="4" t="s">
        <v>35</v>
      </c>
      <c r="D281" s="4" t="n">
        <f aca="false">IF(RIGHT(E281,2)=".1",1,IF(RIGHT(E281,2)=".2",2,0))</f>
        <v>0</v>
      </c>
      <c r="E281" s="7" t="s">
        <v>36</v>
      </c>
      <c r="F281" s="1" t="s">
        <v>23</v>
      </c>
      <c r="G281" s="1" t="n">
        <v>38.62</v>
      </c>
      <c r="H281" s="1" t="n">
        <v>25</v>
      </c>
      <c r="I281" s="1" t="n">
        <v>23.06</v>
      </c>
      <c r="J281" s="1" t="n">
        <v>1</v>
      </c>
      <c r="K281" s="5" t="n">
        <v>0.00894464</v>
      </c>
      <c r="L281" s="5" t="n">
        <v>0.0006679</v>
      </c>
      <c r="M281" s="1" t="n">
        <v>7.467</v>
      </c>
      <c r="N281" s="1" t="n">
        <v>7.397</v>
      </c>
      <c r="O281" s="1" t="n">
        <v>1.014</v>
      </c>
      <c r="P281" s="1" t="n">
        <v>1.188</v>
      </c>
      <c r="Q281" s="1" t="n">
        <v>7.8</v>
      </c>
      <c r="R281" s="1" t="n">
        <v>-0.01101</v>
      </c>
      <c r="S281" s="1" t="n">
        <v>0.5</v>
      </c>
      <c r="T281" s="5" t="n">
        <v>1.119E-008</v>
      </c>
      <c r="U281" s="5" t="n">
        <v>2.982E-006</v>
      </c>
      <c r="V281" s="1" t="n">
        <v>8.508</v>
      </c>
    </row>
    <row r="282" customFormat="false" ht="12.8" hidden="false" customHeight="false" outlineLevel="0" collapsed="false">
      <c r="A282" s="1" t="n">
        <v>2</v>
      </c>
      <c r="B282" s="4" t="s">
        <v>34</v>
      </c>
      <c r="C282" s="4" t="s">
        <v>35</v>
      </c>
      <c r="D282" s="4" t="n">
        <f aca="false">IF(RIGHT(E282,2)=".1",1,IF(RIGHT(E282,2)=".2",2,0))</f>
        <v>0</v>
      </c>
      <c r="E282" s="7" t="s">
        <v>36</v>
      </c>
      <c r="F282" s="1" t="s">
        <v>23</v>
      </c>
      <c r="G282" s="1" t="n">
        <v>63.64</v>
      </c>
      <c r="H282" s="1" t="n">
        <v>50.01</v>
      </c>
      <c r="I282" s="1" t="n">
        <v>23.04</v>
      </c>
      <c r="J282" s="1" t="n">
        <v>1</v>
      </c>
      <c r="K282" s="1" t="n">
        <v>0.0126306</v>
      </c>
      <c r="L282" s="5" t="n">
        <v>0.0009285</v>
      </c>
      <c r="M282" s="1" t="n">
        <v>7.351</v>
      </c>
      <c r="N282" s="1" t="n">
        <v>7.241</v>
      </c>
      <c r="O282" s="1" t="n">
        <v>1.269</v>
      </c>
      <c r="P282" s="1" t="n">
        <v>1.17</v>
      </c>
      <c r="Q282" s="1" t="n">
        <v>9.94</v>
      </c>
      <c r="R282" s="1" t="n">
        <v>-0.01151</v>
      </c>
      <c r="S282" s="1" t="n">
        <v>0.5</v>
      </c>
      <c r="T282" s="5" t="n">
        <v>1.555E-008</v>
      </c>
      <c r="U282" s="5" t="n">
        <v>4.21E-006</v>
      </c>
      <c r="V282" s="1" t="n">
        <v>4.156</v>
      </c>
    </row>
    <row r="283" customFormat="false" ht="12.8" hidden="false" customHeight="false" outlineLevel="0" collapsed="false">
      <c r="A283" s="1" t="n">
        <v>3</v>
      </c>
      <c r="B283" s="4" t="s">
        <v>34</v>
      </c>
      <c r="C283" s="4" t="s">
        <v>35</v>
      </c>
      <c r="D283" s="4" t="n">
        <f aca="false">IF(RIGHT(E283,2)=".1",1,IF(RIGHT(E283,2)=".2",2,0))</f>
        <v>0</v>
      </c>
      <c r="E283" s="7" t="s">
        <v>36</v>
      </c>
      <c r="F283" s="1" t="s">
        <v>23</v>
      </c>
      <c r="G283" s="1" t="n">
        <v>88.64</v>
      </c>
      <c r="H283" s="1" t="n">
        <v>75.02</v>
      </c>
      <c r="I283" s="1" t="n">
        <v>23.03</v>
      </c>
      <c r="J283" s="1" t="n">
        <v>1</v>
      </c>
      <c r="K283" s="1" t="n">
        <v>0.0167199</v>
      </c>
      <c r="L283" s="5" t="n">
        <v>0.001231</v>
      </c>
      <c r="M283" s="1" t="n">
        <v>7.36</v>
      </c>
      <c r="N283" s="1" t="n">
        <v>7.252</v>
      </c>
      <c r="O283" s="1" t="n">
        <v>1.257</v>
      </c>
      <c r="P283" s="1" t="n">
        <v>1.171</v>
      </c>
      <c r="Q283" s="1" t="n">
        <v>9.84</v>
      </c>
      <c r="R283" s="1" t="n">
        <v>-0.01063</v>
      </c>
      <c r="S283" s="1" t="n">
        <v>0.5</v>
      </c>
      <c r="T283" s="5" t="n">
        <v>2.062E-008</v>
      </c>
      <c r="U283" s="5" t="n">
        <v>5.574E-006</v>
      </c>
      <c r="V283" s="1" t="n">
        <v>2.753</v>
      </c>
    </row>
    <row r="284" customFormat="false" ht="12.8" hidden="false" customHeight="false" outlineLevel="0" collapsed="false">
      <c r="A284" s="1" t="n">
        <v>4</v>
      </c>
      <c r="B284" s="4" t="s">
        <v>34</v>
      </c>
      <c r="C284" s="4" t="s">
        <v>35</v>
      </c>
      <c r="D284" s="4" t="n">
        <f aca="false">IF(RIGHT(E284,2)=".1",1,IF(RIGHT(E284,2)=".2",2,0))</f>
        <v>0</v>
      </c>
      <c r="E284" s="7" t="s">
        <v>36</v>
      </c>
      <c r="F284" s="1" t="s">
        <v>23</v>
      </c>
      <c r="G284" s="1" t="n">
        <v>113.7</v>
      </c>
      <c r="H284" s="1" t="n">
        <v>100</v>
      </c>
      <c r="I284" s="1" t="n">
        <v>23.02</v>
      </c>
      <c r="J284" s="1" t="n">
        <v>1</v>
      </c>
      <c r="K284" s="1" t="n">
        <v>0.0198254</v>
      </c>
      <c r="L284" s="5" t="n">
        <v>0.001451</v>
      </c>
      <c r="M284" s="1" t="n">
        <v>7.321</v>
      </c>
      <c r="N284" s="1" t="n">
        <v>7.229</v>
      </c>
      <c r="O284" s="1" t="n">
        <v>1.16</v>
      </c>
      <c r="P284" s="1" t="n">
        <v>1.165</v>
      </c>
      <c r="Q284" s="1" t="n">
        <v>9.12</v>
      </c>
      <c r="R284" s="1" t="n">
        <v>-0.01123</v>
      </c>
      <c r="S284" s="1" t="n">
        <v>0.5</v>
      </c>
      <c r="T284" s="5" t="n">
        <v>2.432E-008</v>
      </c>
      <c r="U284" s="5" t="n">
        <v>6.609E-006</v>
      </c>
      <c r="V284" s="1" t="n">
        <v>1.469</v>
      </c>
    </row>
    <row r="285" customFormat="false" ht="12.8" hidden="false" customHeight="false" outlineLevel="0" collapsed="false">
      <c r="A285" s="1" t="n">
        <v>5</v>
      </c>
      <c r="B285" s="4" t="s">
        <v>34</v>
      </c>
      <c r="C285" s="4" t="s">
        <v>35</v>
      </c>
      <c r="D285" s="4" t="n">
        <f aca="false">IF(RIGHT(E285,2)=".1",1,IF(RIGHT(E285,2)=".2",2,0))</f>
        <v>0</v>
      </c>
      <c r="E285" s="7" t="s">
        <v>36</v>
      </c>
      <c r="F285" s="1" t="s">
        <v>23</v>
      </c>
      <c r="G285" s="1" t="n">
        <v>138.7</v>
      </c>
      <c r="H285" s="1" t="n">
        <v>125</v>
      </c>
      <c r="I285" s="1" t="n">
        <v>23.02</v>
      </c>
      <c r="J285" s="1" t="n">
        <v>1</v>
      </c>
      <c r="K285" s="1" t="n">
        <v>0.0242422</v>
      </c>
      <c r="L285" s="5" t="n">
        <v>0.001759</v>
      </c>
      <c r="M285" s="1" t="n">
        <v>7.257</v>
      </c>
      <c r="N285" s="1" t="n">
        <v>7.149</v>
      </c>
      <c r="O285" s="1" t="n">
        <v>1.248</v>
      </c>
      <c r="P285" s="1" t="n">
        <v>1.155</v>
      </c>
      <c r="Q285" s="1" t="n">
        <v>9.91</v>
      </c>
      <c r="R285" s="1" t="n">
        <v>-0.01123</v>
      </c>
      <c r="S285" s="1" t="n">
        <v>0.5</v>
      </c>
      <c r="T285" s="5" t="n">
        <v>2.947E-008</v>
      </c>
      <c r="U285" s="5" t="n">
        <v>8.081E-006</v>
      </c>
      <c r="V285" s="1" t="n">
        <v>5.232</v>
      </c>
    </row>
    <row r="286" customFormat="false" ht="12.8" hidden="false" customHeight="false" outlineLevel="0" collapsed="false">
      <c r="A286" s="1" t="n">
        <v>6</v>
      </c>
      <c r="B286" s="4" t="s">
        <v>34</v>
      </c>
      <c r="C286" s="4" t="s">
        <v>35</v>
      </c>
      <c r="D286" s="4" t="n">
        <f aca="false">IF(RIGHT(E286,2)=".1",1,IF(RIGHT(E286,2)=".2",2,0))</f>
        <v>0</v>
      </c>
      <c r="E286" s="7" t="s">
        <v>36</v>
      </c>
      <c r="F286" s="1" t="s">
        <v>23</v>
      </c>
      <c r="G286" s="1" t="n">
        <v>163.7</v>
      </c>
      <c r="H286" s="1" t="n">
        <v>150.1</v>
      </c>
      <c r="I286" s="1" t="n">
        <v>23.02</v>
      </c>
      <c r="J286" s="1" t="n">
        <v>1</v>
      </c>
      <c r="K286" s="1" t="n">
        <v>0.0322344</v>
      </c>
      <c r="L286" s="5" t="n">
        <v>0.002324</v>
      </c>
      <c r="M286" s="1" t="n">
        <v>7.21</v>
      </c>
      <c r="N286" s="1" t="n">
        <v>7.091</v>
      </c>
      <c r="O286" s="1" t="n">
        <v>1.3</v>
      </c>
      <c r="P286" s="1" t="n">
        <v>1.147</v>
      </c>
      <c r="Q286" s="1" t="n">
        <v>10.39</v>
      </c>
      <c r="R286" s="1" t="n">
        <v>-0.01174</v>
      </c>
      <c r="S286" s="1" t="n">
        <v>0.5</v>
      </c>
      <c r="T286" s="5" t="n">
        <v>3.893E-008</v>
      </c>
      <c r="U286" s="5" t="n">
        <v>1.075E-005</v>
      </c>
      <c r="V286" s="1" t="n">
        <v>3.529</v>
      </c>
    </row>
    <row r="287" customFormat="false" ht="12.8" hidden="false" customHeight="false" outlineLevel="0" collapsed="false">
      <c r="A287" s="1" t="n">
        <v>7</v>
      </c>
      <c r="B287" s="4" t="s">
        <v>34</v>
      </c>
      <c r="C287" s="4" t="s">
        <v>35</v>
      </c>
      <c r="D287" s="4" t="n">
        <f aca="false">IF(RIGHT(E287,2)=".1",1,IF(RIGHT(E287,2)=".2",2,0))</f>
        <v>0</v>
      </c>
      <c r="E287" s="7" t="s">
        <v>36</v>
      </c>
      <c r="F287" s="1" t="s">
        <v>23</v>
      </c>
      <c r="G287" s="1" t="n">
        <v>188.7</v>
      </c>
      <c r="H287" s="1" t="n">
        <v>175.1</v>
      </c>
      <c r="I287" s="1" t="n">
        <v>23.01</v>
      </c>
      <c r="J287" s="1" t="n">
        <v>1</v>
      </c>
      <c r="K287" s="1" t="n">
        <v>0.0399889</v>
      </c>
      <c r="L287" s="5" t="n">
        <v>0.002819</v>
      </c>
      <c r="M287" s="1" t="n">
        <v>7.05</v>
      </c>
      <c r="N287" s="1" t="n">
        <v>6.916</v>
      </c>
      <c r="O287" s="1" t="n">
        <v>1.365</v>
      </c>
      <c r="P287" s="1" t="n">
        <v>1.122</v>
      </c>
      <c r="Q287" s="1" t="n">
        <v>11.16</v>
      </c>
      <c r="R287" s="1" t="n">
        <v>-0.01201</v>
      </c>
      <c r="S287" s="1" t="n">
        <v>0.5</v>
      </c>
      <c r="T287" s="5" t="n">
        <v>4.723E-008</v>
      </c>
      <c r="U287" s="5" t="n">
        <v>1.333E-005</v>
      </c>
      <c r="V287" s="1" t="n">
        <v>4.109</v>
      </c>
    </row>
    <row r="288" customFormat="false" ht="12.8" hidden="false" customHeight="false" outlineLevel="0" collapsed="false">
      <c r="A288" s="1" t="n">
        <v>8</v>
      </c>
      <c r="B288" s="4" t="s">
        <v>34</v>
      </c>
      <c r="C288" s="4" t="s">
        <v>35</v>
      </c>
      <c r="D288" s="4" t="n">
        <f aca="false">IF(RIGHT(E288,2)=".1",1,IF(RIGHT(E288,2)=".2",2,0))</f>
        <v>0</v>
      </c>
      <c r="E288" s="7" t="s">
        <v>36</v>
      </c>
      <c r="F288" s="1" t="s">
        <v>23</v>
      </c>
      <c r="G288" s="1" t="n">
        <v>213.7</v>
      </c>
      <c r="H288" s="1" t="n">
        <v>200.1</v>
      </c>
      <c r="I288" s="1" t="n">
        <v>23.01</v>
      </c>
      <c r="J288" s="1" t="n">
        <v>1</v>
      </c>
      <c r="K288" s="1" t="n">
        <v>0.0494501</v>
      </c>
      <c r="L288" s="5" t="n">
        <v>0.003435</v>
      </c>
      <c r="M288" s="1" t="n">
        <v>6.946</v>
      </c>
      <c r="N288" s="1" t="n">
        <v>6.8</v>
      </c>
      <c r="O288" s="1" t="n">
        <v>1.414</v>
      </c>
      <c r="P288" s="1" t="n">
        <v>1.105</v>
      </c>
      <c r="Q288" s="1" t="n">
        <v>11.75</v>
      </c>
      <c r="R288" s="1" t="n">
        <v>-0.01171</v>
      </c>
      <c r="S288" s="1" t="n">
        <v>0.5</v>
      </c>
      <c r="T288" s="5" t="n">
        <v>5.754E-008</v>
      </c>
      <c r="U288" s="5" t="n">
        <v>1.648E-005</v>
      </c>
      <c r="V288" s="1" t="n">
        <v>5.748</v>
      </c>
    </row>
    <row r="289" customFormat="false" ht="12.8" hidden="false" customHeight="false" outlineLevel="0" collapsed="false">
      <c r="A289" s="1" t="n">
        <v>9</v>
      </c>
      <c r="B289" s="4" t="s">
        <v>34</v>
      </c>
      <c r="C289" s="4" t="s">
        <v>35</v>
      </c>
      <c r="D289" s="4" t="n">
        <f aca="false">IF(RIGHT(E289,2)=".1",1,IF(RIGHT(E289,2)=".2",2,0))</f>
        <v>0</v>
      </c>
      <c r="E289" s="7" t="s">
        <v>36</v>
      </c>
      <c r="F289" s="1" t="s">
        <v>23</v>
      </c>
      <c r="G289" s="1" t="n">
        <v>238.7</v>
      </c>
      <c r="H289" s="1" t="n">
        <v>225.1</v>
      </c>
      <c r="I289" s="1" t="n">
        <v>23.01</v>
      </c>
      <c r="J289" s="1" t="n">
        <v>1</v>
      </c>
      <c r="K289" s="1" t="n">
        <v>0.0631453</v>
      </c>
      <c r="L289" s="5" t="n">
        <v>0.004311</v>
      </c>
      <c r="M289" s="1" t="n">
        <v>6.827</v>
      </c>
      <c r="N289" s="1" t="n">
        <v>6.684</v>
      </c>
      <c r="O289" s="1" t="n">
        <v>1.391</v>
      </c>
      <c r="P289" s="1" t="n">
        <v>1.087</v>
      </c>
      <c r="Q289" s="1" t="n">
        <v>11.76</v>
      </c>
      <c r="R289" s="1" t="n">
        <v>-0.01182</v>
      </c>
      <c r="S289" s="1" t="n">
        <v>0.5</v>
      </c>
      <c r="T289" s="5" t="n">
        <v>7.222E-008</v>
      </c>
      <c r="U289" s="5" t="n">
        <v>2.105E-005</v>
      </c>
      <c r="V289" s="1" t="n">
        <v>4.527</v>
      </c>
    </row>
    <row r="290" customFormat="false" ht="12.8" hidden="false" customHeight="false" outlineLevel="0" collapsed="false">
      <c r="A290" s="1" t="n">
        <v>10</v>
      </c>
      <c r="B290" s="4" t="s">
        <v>34</v>
      </c>
      <c r="C290" s="4" t="s">
        <v>35</v>
      </c>
      <c r="D290" s="4" t="n">
        <f aca="false">IF(RIGHT(E290,2)=".1",1,IF(RIGHT(E290,2)=".2",2,0))</f>
        <v>0</v>
      </c>
      <c r="E290" s="7" t="s">
        <v>36</v>
      </c>
      <c r="F290" s="1" t="s">
        <v>23</v>
      </c>
      <c r="G290" s="1" t="n">
        <v>263.7</v>
      </c>
      <c r="H290" s="1" t="n">
        <v>250.1</v>
      </c>
      <c r="I290" s="1" t="n">
        <v>23.01</v>
      </c>
      <c r="J290" s="1" t="n">
        <v>1</v>
      </c>
      <c r="K290" s="1" t="n">
        <v>0.080383</v>
      </c>
      <c r="L290" s="5" t="n">
        <v>0.005337</v>
      </c>
      <c r="M290" s="1" t="n">
        <v>6.64</v>
      </c>
      <c r="N290" s="1" t="n">
        <v>6.5</v>
      </c>
      <c r="O290" s="1" t="n">
        <v>1.358</v>
      </c>
      <c r="P290" s="1" t="n">
        <v>1.057</v>
      </c>
      <c r="Q290" s="1" t="n">
        <v>11.8</v>
      </c>
      <c r="R290" s="1" t="n">
        <v>-0.0116</v>
      </c>
      <c r="S290" s="1" t="n">
        <v>0.5</v>
      </c>
      <c r="T290" s="5" t="n">
        <v>8.942E-008</v>
      </c>
      <c r="U290" s="5" t="n">
        <v>2.68E-005</v>
      </c>
      <c r="V290" s="1" t="n">
        <v>3.524</v>
      </c>
    </row>
    <row r="291" customFormat="false" ht="12.8" hidden="false" customHeight="false" outlineLevel="0" collapsed="false">
      <c r="A291" s="1" t="n">
        <v>11</v>
      </c>
      <c r="B291" s="4" t="s">
        <v>34</v>
      </c>
      <c r="C291" s="4" t="s">
        <v>35</v>
      </c>
      <c r="D291" s="4" t="n">
        <f aca="false">IF(RIGHT(E291,2)=".1",1,IF(RIGHT(E291,2)=".2",2,0))</f>
        <v>0</v>
      </c>
      <c r="E291" s="7" t="s">
        <v>36</v>
      </c>
      <c r="F291" s="1" t="s">
        <v>23</v>
      </c>
      <c r="G291" s="1" t="n">
        <v>288.7</v>
      </c>
      <c r="H291" s="1" t="n">
        <v>275.1</v>
      </c>
      <c r="I291" s="1" t="n">
        <v>23</v>
      </c>
      <c r="J291" s="1" t="n">
        <v>1</v>
      </c>
      <c r="K291" s="1" t="n">
        <v>0.0997521</v>
      </c>
      <c r="L291" s="5" t="n">
        <v>0.006471</v>
      </c>
      <c r="M291" s="1" t="n">
        <v>6.487</v>
      </c>
      <c r="N291" s="1" t="n">
        <v>6.337</v>
      </c>
      <c r="O291" s="1" t="n">
        <v>1.385</v>
      </c>
      <c r="P291" s="1" t="n">
        <v>1.032</v>
      </c>
      <c r="Q291" s="1" t="n">
        <v>12.33</v>
      </c>
      <c r="R291" s="1" t="n">
        <v>-0.01219</v>
      </c>
      <c r="S291" s="1" t="n">
        <v>0.5</v>
      </c>
      <c r="T291" s="5" t="n">
        <v>1.084E-007</v>
      </c>
      <c r="U291" s="5" t="n">
        <v>3.325E-005</v>
      </c>
      <c r="V291" s="1" t="n">
        <v>3.226</v>
      </c>
    </row>
    <row r="292" customFormat="false" ht="12.8" hidden="false" customHeight="false" outlineLevel="0" collapsed="false">
      <c r="A292" s="1" t="n">
        <v>12</v>
      </c>
      <c r="B292" s="4" t="s">
        <v>34</v>
      </c>
      <c r="C292" s="4" t="s">
        <v>35</v>
      </c>
      <c r="D292" s="4" t="n">
        <f aca="false">IF(RIGHT(E292,2)=".1",1,IF(RIGHT(E292,2)=".2",2,0))</f>
        <v>0</v>
      </c>
      <c r="E292" s="7" t="s">
        <v>36</v>
      </c>
      <c r="F292" s="1" t="s">
        <v>23</v>
      </c>
      <c r="G292" s="1" t="n">
        <v>313.8</v>
      </c>
      <c r="H292" s="1" t="n">
        <v>300.1</v>
      </c>
      <c r="I292" s="1" t="n">
        <v>23</v>
      </c>
      <c r="J292" s="1" t="n">
        <v>1</v>
      </c>
      <c r="K292" s="1" t="n">
        <v>0.125045</v>
      </c>
      <c r="L292" s="5" t="n">
        <v>0.007871</v>
      </c>
      <c r="M292" s="1" t="n">
        <v>6.295</v>
      </c>
      <c r="N292" s="1" t="n">
        <v>6.14</v>
      </c>
      <c r="O292" s="1" t="n">
        <v>1.388</v>
      </c>
      <c r="P292" s="1" t="n">
        <v>1.002</v>
      </c>
      <c r="Q292" s="1" t="n">
        <v>12.74</v>
      </c>
      <c r="R292" s="1" t="n">
        <v>-0.01184</v>
      </c>
      <c r="S292" s="1" t="n">
        <v>0.5</v>
      </c>
      <c r="T292" s="5" t="n">
        <v>1.319E-007</v>
      </c>
      <c r="U292" s="5" t="n">
        <v>4.168E-005</v>
      </c>
      <c r="V292" s="1" t="n">
        <v>2.875</v>
      </c>
    </row>
    <row r="293" customFormat="false" ht="12.8" hidden="false" customHeight="false" outlineLevel="0" collapsed="false">
      <c r="A293" s="1" t="n">
        <v>13</v>
      </c>
      <c r="B293" s="4" t="s">
        <v>34</v>
      </c>
      <c r="C293" s="4" t="s">
        <v>35</v>
      </c>
      <c r="D293" s="4" t="n">
        <f aca="false">IF(RIGHT(E293,2)=".1",1,IF(RIGHT(E293,2)=".2",2,0))</f>
        <v>0</v>
      </c>
      <c r="E293" s="7" t="s">
        <v>36</v>
      </c>
      <c r="F293" s="1" t="s">
        <v>23</v>
      </c>
      <c r="G293" s="1" t="n">
        <v>338.8</v>
      </c>
      <c r="H293" s="1" t="n">
        <v>325.1</v>
      </c>
      <c r="I293" s="1" t="n">
        <v>23</v>
      </c>
      <c r="J293" s="1" t="n">
        <v>1</v>
      </c>
      <c r="K293" s="1" t="n">
        <v>0.15937</v>
      </c>
      <c r="L293" s="5" t="n">
        <v>0.009621</v>
      </c>
      <c r="M293" s="1" t="n">
        <v>6.037</v>
      </c>
      <c r="N293" s="1" t="n">
        <v>5.861</v>
      </c>
      <c r="O293" s="1" t="n">
        <v>1.447</v>
      </c>
      <c r="P293" s="1" t="n">
        <v>0.9608</v>
      </c>
      <c r="Q293" s="1" t="n">
        <v>13.86</v>
      </c>
      <c r="R293" s="1" t="n">
        <v>-0.01273</v>
      </c>
      <c r="S293" s="1" t="n">
        <v>0.5</v>
      </c>
      <c r="T293" s="5" t="n">
        <v>1.612E-007</v>
      </c>
      <c r="U293" s="5" t="n">
        <v>5.313E-005</v>
      </c>
      <c r="V293" s="1" t="n">
        <v>2.454</v>
      </c>
    </row>
    <row r="294" customFormat="false" ht="12.8" hidden="false" customHeight="false" outlineLevel="0" collapsed="false">
      <c r="A294" s="1" t="n">
        <v>14</v>
      </c>
      <c r="B294" s="4" t="s">
        <v>34</v>
      </c>
      <c r="C294" s="4" t="s">
        <v>35</v>
      </c>
      <c r="D294" s="4" t="n">
        <f aca="false">IF(RIGHT(E294,2)=".1",1,IF(RIGHT(E294,2)=".2",2,0))</f>
        <v>0</v>
      </c>
      <c r="E294" s="7" t="s">
        <v>36</v>
      </c>
      <c r="F294" s="1" t="s">
        <v>23</v>
      </c>
      <c r="G294" s="1" t="n">
        <v>363.8</v>
      </c>
      <c r="H294" s="1" t="n">
        <v>350.2</v>
      </c>
      <c r="I294" s="1" t="n">
        <v>23</v>
      </c>
      <c r="J294" s="1" t="n">
        <v>1</v>
      </c>
      <c r="K294" s="1" t="n">
        <v>0.199973</v>
      </c>
      <c r="L294" s="1" t="n">
        <v>0.01149</v>
      </c>
      <c r="M294" s="1" t="n">
        <v>5.745</v>
      </c>
      <c r="N294" s="1" t="n">
        <v>5.551</v>
      </c>
      <c r="O294" s="1" t="n">
        <v>1.48</v>
      </c>
      <c r="P294" s="1" t="n">
        <v>0.9144</v>
      </c>
      <c r="Q294" s="1" t="n">
        <v>14.93</v>
      </c>
      <c r="R294" s="1" t="n">
        <v>-0.01146</v>
      </c>
      <c r="S294" s="1" t="n">
        <v>0.5</v>
      </c>
      <c r="T294" s="5" t="n">
        <v>1.925E-007</v>
      </c>
      <c r="U294" s="5" t="n">
        <v>6.666E-005</v>
      </c>
      <c r="V294" s="1" t="n">
        <v>2.846</v>
      </c>
    </row>
    <row r="295" customFormat="false" ht="12.8" hidden="false" customHeight="false" outlineLevel="0" collapsed="false">
      <c r="A295" s="1" t="n">
        <v>15</v>
      </c>
      <c r="B295" s="4" t="s">
        <v>34</v>
      </c>
      <c r="C295" s="4" t="s">
        <v>35</v>
      </c>
      <c r="D295" s="4" t="n">
        <f aca="false">IF(RIGHT(E295,2)=".1",1,IF(RIGHT(E295,2)=".2",2,0))</f>
        <v>0</v>
      </c>
      <c r="E295" s="7" t="s">
        <v>36</v>
      </c>
      <c r="F295" s="1" t="s">
        <v>23</v>
      </c>
      <c r="G295" s="1" t="n">
        <v>388.8</v>
      </c>
      <c r="H295" s="1" t="n">
        <v>375.2</v>
      </c>
      <c r="I295" s="1" t="n">
        <v>23</v>
      </c>
      <c r="J295" s="1" t="n">
        <v>1</v>
      </c>
      <c r="K295" s="1" t="n">
        <v>0.250627</v>
      </c>
      <c r="L295" s="1" t="n">
        <v>0.01353</v>
      </c>
      <c r="M295" s="1" t="n">
        <v>5.4</v>
      </c>
      <c r="N295" s="1" t="n">
        <v>5.195</v>
      </c>
      <c r="O295" s="1" t="n">
        <v>1.472</v>
      </c>
      <c r="P295" s="1" t="n">
        <v>0.8594</v>
      </c>
      <c r="Q295" s="1" t="n">
        <v>15.82</v>
      </c>
      <c r="R295" s="1" t="n">
        <v>-0.01209</v>
      </c>
      <c r="S295" s="1" t="n">
        <v>0.5</v>
      </c>
      <c r="T295" s="5" t="n">
        <v>2.267E-007</v>
      </c>
      <c r="U295" s="5" t="n">
        <v>8.355E-005</v>
      </c>
      <c r="V295" s="1" t="n">
        <v>3.606</v>
      </c>
    </row>
    <row r="296" customFormat="false" ht="12.8" hidden="false" customHeight="false" outlineLevel="0" collapsed="false">
      <c r="A296" s="1" t="n">
        <v>16</v>
      </c>
      <c r="B296" s="4" t="s">
        <v>34</v>
      </c>
      <c r="C296" s="4" t="s">
        <v>35</v>
      </c>
      <c r="D296" s="4" t="n">
        <f aca="false">IF(RIGHT(E296,2)=".1",1,IF(RIGHT(E296,2)=".2",2,0))</f>
        <v>0</v>
      </c>
      <c r="E296" s="7" t="s">
        <v>36</v>
      </c>
      <c r="F296" s="1" t="s">
        <v>23</v>
      </c>
      <c r="G296" s="1" t="n">
        <v>413.8</v>
      </c>
      <c r="H296" s="1" t="n">
        <v>400.2</v>
      </c>
      <c r="I296" s="1" t="n">
        <v>23</v>
      </c>
      <c r="J296" s="1" t="n">
        <v>1</v>
      </c>
      <c r="K296" s="1" t="n">
        <v>0.317159</v>
      </c>
      <c r="L296" s="1" t="n">
        <v>0.01602</v>
      </c>
      <c r="M296" s="1" t="n">
        <v>5.053</v>
      </c>
      <c r="N296" s="1" t="n">
        <v>4.837</v>
      </c>
      <c r="O296" s="1" t="n">
        <v>1.461</v>
      </c>
      <c r="P296" s="1" t="n">
        <v>0.8042</v>
      </c>
      <c r="Q296" s="1" t="n">
        <v>16.81</v>
      </c>
      <c r="R296" s="1" t="n">
        <v>-0.0125</v>
      </c>
      <c r="S296" s="1" t="n">
        <v>0.5</v>
      </c>
      <c r="T296" s="5" t="n">
        <v>2.685E-007</v>
      </c>
      <c r="U296" s="5" t="n">
        <v>0.0001057</v>
      </c>
      <c r="V296" s="1" t="n">
        <v>3.693</v>
      </c>
    </row>
    <row r="297" customFormat="false" ht="12.8" hidden="false" customHeight="false" outlineLevel="0" collapsed="false">
      <c r="A297" s="1" t="n">
        <v>17</v>
      </c>
      <c r="B297" s="4" t="s">
        <v>34</v>
      </c>
      <c r="C297" s="4" t="s">
        <v>35</v>
      </c>
      <c r="D297" s="4" t="n">
        <f aca="false">IF(RIGHT(E297,2)=".1",1,IF(RIGHT(E297,2)=".2",2,0))</f>
        <v>0</v>
      </c>
      <c r="E297" s="7" t="s">
        <v>36</v>
      </c>
      <c r="F297" s="1" t="s">
        <v>23</v>
      </c>
      <c r="G297" s="1" t="n">
        <v>438.8</v>
      </c>
      <c r="H297" s="1" t="n">
        <v>425.2</v>
      </c>
      <c r="I297" s="1" t="n">
        <v>23</v>
      </c>
      <c r="J297" s="1" t="n">
        <v>1</v>
      </c>
      <c r="K297" s="1" t="n">
        <v>0.398859</v>
      </c>
      <c r="L297" s="1" t="n">
        <v>0.01883</v>
      </c>
      <c r="M297" s="1" t="n">
        <v>4.72</v>
      </c>
      <c r="N297" s="1" t="n">
        <v>4.492</v>
      </c>
      <c r="O297" s="1" t="n">
        <v>1.45</v>
      </c>
      <c r="P297" s="1" t="n">
        <v>0.7512</v>
      </c>
      <c r="Q297" s="1" t="n">
        <v>17.89</v>
      </c>
      <c r="R297" s="1" t="n">
        <v>-0.01275</v>
      </c>
      <c r="S297" s="1" t="n">
        <v>0.5</v>
      </c>
      <c r="T297" s="5" t="n">
        <v>3.154E-007</v>
      </c>
      <c r="U297" s="5" t="n">
        <v>0.000133</v>
      </c>
      <c r="V297" s="1" t="n">
        <v>3.877</v>
      </c>
    </row>
    <row r="298" customFormat="false" ht="12.8" hidden="false" customHeight="false" outlineLevel="0" collapsed="false">
      <c r="A298" s="1" t="n">
        <v>18</v>
      </c>
      <c r="B298" s="4" t="s">
        <v>34</v>
      </c>
      <c r="C298" s="4" t="s">
        <v>35</v>
      </c>
      <c r="D298" s="4" t="n">
        <f aca="false">IF(RIGHT(E298,2)=".1",1,IF(RIGHT(E298,2)=".2",2,0))</f>
        <v>0</v>
      </c>
      <c r="E298" s="7" t="s">
        <v>36</v>
      </c>
      <c r="F298" s="1" t="s">
        <v>23</v>
      </c>
      <c r="G298" s="1" t="n">
        <v>463.8</v>
      </c>
      <c r="H298" s="1" t="n">
        <v>450.2</v>
      </c>
      <c r="I298" s="1" t="n">
        <v>23</v>
      </c>
      <c r="J298" s="1" t="n">
        <v>1</v>
      </c>
      <c r="K298" s="1" t="n">
        <v>0.50004</v>
      </c>
      <c r="L298" s="1" t="n">
        <v>0.02198</v>
      </c>
      <c r="M298" s="1" t="n">
        <v>4.395</v>
      </c>
      <c r="N298" s="1" t="n">
        <v>4.156</v>
      </c>
      <c r="O298" s="1" t="n">
        <v>1.43</v>
      </c>
      <c r="P298" s="1" t="n">
        <v>0.6995</v>
      </c>
      <c r="Q298" s="1" t="n">
        <v>18.99</v>
      </c>
      <c r="R298" s="1" t="n">
        <v>-0.0126</v>
      </c>
      <c r="S298" s="1" t="n">
        <v>0.5</v>
      </c>
      <c r="T298" s="5" t="n">
        <v>3.682E-007</v>
      </c>
      <c r="U298" s="5" t="n">
        <v>0.0001667</v>
      </c>
      <c r="V298" s="1" t="n">
        <v>3.943</v>
      </c>
    </row>
    <row r="299" customFormat="false" ht="12.8" hidden="false" customHeight="false" outlineLevel="0" collapsed="false">
      <c r="A299" s="1" t="n">
        <v>19</v>
      </c>
      <c r="B299" s="4" t="s">
        <v>34</v>
      </c>
      <c r="C299" s="4" t="s">
        <v>35</v>
      </c>
      <c r="D299" s="4" t="n">
        <f aca="false">IF(RIGHT(E299,2)=".1",1,IF(RIGHT(E299,2)=".2",2,0))</f>
        <v>0</v>
      </c>
      <c r="E299" s="7" t="s">
        <v>36</v>
      </c>
      <c r="F299" s="1" t="s">
        <v>23</v>
      </c>
      <c r="G299" s="1" t="n">
        <v>488.9</v>
      </c>
      <c r="H299" s="1" t="n">
        <v>475.2</v>
      </c>
      <c r="I299" s="1" t="n">
        <v>23</v>
      </c>
      <c r="J299" s="1" t="n">
        <v>1</v>
      </c>
      <c r="K299" s="1" t="n">
        <v>0.631765</v>
      </c>
      <c r="L299" s="1" t="n">
        <v>0.02544</v>
      </c>
      <c r="M299" s="1" t="n">
        <v>4.028</v>
      </c>
      <c r="N299" s="1" t="n">
        <v>3.778</v>
      </c>
      <c r="O299" s="1" t="n">
        <v>1.395</v>
      </c>
      <c r="P299" s="1" t="n">
        <v>0.641</v>
      </c>
      <c r="Q299" s="1" t="n">
        <v>20.27</v>
      </c>
      <c r="R299" s="1" t="n">
        <v>-0.01215</v>
      </c>
      <c r="S299" s="1" t="n">
        <v>0.5</v>
      </c>
      <c r="T299" s="5" t="n">
        <v>4.263E-007</v>
      </c>
      <c r="U299" s="5" t="n">
        <v>0.0002106</v>
      </c>
      <c r="V299" s="1" t="n">
        <v>4.66</v>
      </c>
    </row>
    <row r="300" customFormat="false" ht="12.8" hidden="false" customHeight="false" outlineLevel="0" collapsed="false">
      <c r="A300" s="1" t="n">
        <v>20</v>
      </c>
      <c r="B300" s="4" t="s">
        <v>34</v>
      </c>
      <c r="C300" s="4" t="s">
        <v>35</v>
      </c>
      <c r="D300" s="4" t="n">
        <f aca="false">IF(RIGHT(E300,2)=".1",1,IF(RIGHT(E300,2)=".2",2,0))</f>
        <v>0</v>
      </c>
      <c r="E300" s="7" t="s">
        <v>36</v>
      </c>
      <c r="F300" s="1" t="s">
        <v>23</v>
      </c>
      <c r="G300" s="1" t="n">
        <v>513.9</v>
      </c>
      <c r="H300" s="1" t="n">
        <v>500.3</v>
      </c>
      <c r="I300" s="1" t="n">
        <v>23</v>
      </c>
      <c r="J300" s="1" t="n">
        <v>1</v>
      </c>
      <c r="K300" s="1" t="n">
        <v>0.79528</v>
      </c>
      <c r="L300" s="1" t="n">
        <v>0.02892</v>
      </c>
      <c r="M300" s="1" t="n">
        <v>3.636</v>
      </c>
      <c r="N300" s="1" t="n">
        <v>3.379</v>
      </c>
      <c r="O300" s="1" t="n">
        <v>1.343</v>
      </c>
      <c r="P300" s="1" t="n">
        <v>0.5787</v>
      </c>
      <c r="Q300" s="1" t="n">
        <v>21.67</v>
      </c>
      <c r="R300" s="1" t="n">
        <v>-0.01328</v>
      </c>
      <c r="S300" s="1" t="n">
        <v>0.5</v>
      </c>
      <c r="T300" s="5" t="n">
        <v>4.845E-007</v>
      </c>
      <c r="U300" s="5" t="n">
        <v>0.0002651</v>
      </c>
      <c r="V300" s="1" t="n">
        <v>5.868</v>
      </c>
    </row>
    <row r="301" customFormat="false" ht="12.8" hidden="false" customHeight="false" outlineLevel="0" collapsed="false">
      <c r="A301" s="1" t="n">
        <v>21</v>
      </c>
      <c r="B301" s="4" t="s">
        <v>34</v>
      </c>
      <c r="C301" s="4" t="s">
        <v>35</v>
      </c>
      <c r="D301" s="4" t="n">
        <f aca="false">IF(RIGHT(E301,2)=".1",1,IF(RIGHT(E301,2)=".2",2,0))</f>
        <v>0</v>
      </c>
      <c r="E301" s="7" t="s">
        <v>36</v>
      </c>
      <c r="F301" s="1" t="s">
        <v>23</v>
      </c>
      <c r="G301" s="1" t="n">
        <v>538.9</v>
      </c>
      <c r="H301" s="1" t="n">
        <v>525.3</v>
      </c>
      <c r="I301" s="1" t="n">
        <v>23</v>
      </c>
      <c r="J301" s="1" t="n">
        <v>1</v>
      </c>
      <c r="K301" s="1" t="n">
        <v>0.99978</v>
      </c>
      <c r="L301" s="1" t="n">
        <v>0.0324</v>
      </c>
      <c r="M301" s="1" t="n">
        <v>3.241</v>
      </c>
      <c r="N301" s="1" t="n">
        <v>2.981</v>
      </c>
      <c r="O301" s="1" t="n">
        <v>1.27</v>
      </c>
      <c r="P301" s="1" t="n">
        <v>0.5158</v>
      </c>
      <c r="Q301" s="1" t="n">
        <v>23.07</v>
      </c>
      <c r="R301" s="1" t="n">
        <v>-0.01335</v>
      </c>
      <c r="S301" s="1" t="n">
        <v>0.5</v>
      </c>
      <c r="T301" s="5" t="n">
        <v>5.428E-007</v>
      </c>
      <c r="U301" s="5" t="n">
        <v>0.0003333</v>
      </c>
      <c r="V301" s="1" t="n">
        <v>7.658</v>
      </c>
    </row>
    <row r="302" customFormat="false" ht="12.8" hidden="false" customHeight="false" outlineLevel="0" collapsed="false">
      <c r="A302" s="1" t="n">
        <v>22</v>
      </c>
      <c r="B302" s="4" t="s">
        <v>34</v>
      </c>
      <c r="C302" s="4" t="s">
        <v>35</v>
      </c>
      <c r="D302" s="4" t="n">
        <f aca="false">IF(RIGHT(E302,2)=".1",1,IF(RIGHT(E302,2)=".2",2,0))</f>
        <v>0</v>
      </c>
      <c r="E302" s="7" t="s">
        <v>36</v>
      </c>
      <c r="F302" s="1" t="s">
        <v>23</v>
      </c>
      <c r="G302" s="1" t="n">
        <v>563.9</v>
      </c>
      <c r="H302" s="1" t="n">
        <v>550.3</v>
      </c>
      <c r="I302" s="1" t="n">
        <v>23</v>
      </c>
      <c r="J302" s="1" t="n">
        <v>1</v>
      </c>
      <c r="K302" s="1" t="n">
        <v>1.26057</v>
      </c>
      <c r="L302" s="1" t="n">
        <v>0.03574</v>
      </c>
      <c r="M302" s="1" t="n">
        <v>2.835</v>
      </c>
      <c r="N302" s="1" t="n">
        <v>2.581</v>
      </c>
      <c r="O302" s="1" t="n">
        <v>1.175</v>
      </c>
      <c r="P302" s="1" t="n">
        <v>0.4513</v>
      </c>
      <c r="Q302" s="1" t="n">
        <v>24.48</v>
      </c>
      <c r="R302" s="1" t="n">
        <v>-0.01393</v>
      </c>
      <c r="S302" s="1" t="n">
        <v>0.5</v>
      </c>
      <c r="T302" s="5" t="n">
        <v>5.988E-007</v>
      </c>
      <c r="U302" s="5" t="n">
        <v>0.0004202</v>
      </c>
      <c r="V302" s="1" t="n">
        <v>9.819</v>
      </c>
    </row>
    <row r="303" customFormat="false" ht="12.8" hidden="false" customHeight="false" outlineLevel="0" collapsed="false">
      <c r="A303" s="1" t="n">
        <v>23</v>
      </c>
      <c r="B303" s="4" t="s">
        <v>34</v>
      </c>
      <c r="C303" s="4" t="s">
        <v>35</v>
      </c>
      <c r="D303" s="4" t="n">
        <f aca="false">IF(RIGHT(E303,2)=".1",1,IF(RIGHT(E303,2)=".2",2,0))</f>
        <v>0</v>
      </c>
      <c r="E303" s="7" t="s">
        <v>36</v>
      </c>
      <c r="F303" s="1" t="s">
        <v>23</v>
      </c>
      <c r="G303" s="1" t="n">
        <v>588.9</v>
      </c>
      <c r="H303" s="1" t="n">
        <v>575.3</v>
      </c>
      <c r="I303" s="1" t="n">
        <v>23</v>
      </c>
      <c r="J303" s="1" t="n">
        <v>1</v>
      </c>
      <c r="K303" s="1" t="n">
        <v>1.58538</v>
      </c>
      <c r="L303" s="1" t="n">
        <v>0.03946</v>
      </c>
      <c r="M303" s="1" t="n">
        <v>2.489</v>
      </c>
      <c r="N303" s="1" t="n">
        <v>2.229</v>
      </c>
      <c r="O303" s="1" t="n">
        <v>1.109</v>
      </c>
      <c r="P303" s="1" t="n">
        <v>0.3962</v>
      </c>
      <c r="Q303" s="1" t="n">
        <v>26.45</v>
      </c>
      <c r="R303" s="1" t="n">
        <v>-0.01399</v>
      </c>
      <c r="S303" s="1" t="n">
        <v>0.5</v>
      </c>
      <c r="T303" s="5" t="n">
        <v>6.611E-007</v>
      </c>
      <c r="U303" s="5" t="n">
        <v>0.0005285</v>
      </c>
      <c r="V303" s="1" t="n">
        <v>12.79</v>
      </c>
    </row>
    <row r="304" customFormat="false" ht="12.8" hidden="false" customHeight="false" outlineLevel="0" collapsed="false">
      <c r="A304" s="1" t="n">
        <v>24</v>
      </c>
      <c r="B304" s="4" t="s">
        <v>34</v>
      </c>
      <c r="C304" s="4" t="s">
        <v>35</v>
      </c>
      <c r="D304" s="4" t="n">
        <f aca="false">IF(RIGHT(E304,2)=".1",1,IF(RIGHT(E304,2)=".2",2,0))</f>
        <v>0</v>
      </c>
      <c r="E304" s="7" t="s">
        <v>36</v>
      </c>
      <c r="F304" s="1" t="s">
        <v>23</v>
      </c>
      <c r="G304" s="1" t="n">
        <v>613.9</v>
      </c>
      <c r="H304" s="1" t="n">
        <v>600.3</v>
      </c>
      <c r="I304" s="1" t="n">
        <v>23</v>
      </c>
      <c r="J304" s="1" t="n">
        <v>1</v>
      </c>
      <c r="K304" s="1" t="n">
        <v>1.99524</v>
      </c>
      <c r="L304" s="1" t="n">
        <v>0.04281</v>
      </c>
      <c r="M304" s="1" t="n">
        <v>2.146</v>
      </c>
      <c r="N304" s="1" t="n">
        <v>1.885</v>
      </c>
      <c r="O304" s="1" t="n">
        <v>1.025</v>
      </c>
      <c r="P304" s="1" t="n">
        <v>0.3415</v>
      </c>
      <c r="Q304" s="1" t="n">
        <v>28.54</v>
      </c>
      <c r="R304" s="1" t="n">
        <v>-0.01441</v>
      </c>
      <c r="S304" s="1" t="n">
        <v>0.5</v>
      </c>
      <c r="T304" s="5" t="n">
        <v>7.172E-007</v>
      </c>
      <c r="U304" s="5" t="n">
        <v>0.0006651</v>
      </c>
      <c r="V304" s="1" t="n">
        <v>15.24</v>
      </c>
    </row>
    <row r="305" customFormat="false" ht="12.8" hidden="false" customHeight="false" outlineLevel="0" collapsed="false">
      <c r="A305" s="1" t="n">
        <v>25</v>
      </c>
      <c r="B305" s="4" t="s">
        <v>34</v>
      </c>
      <c r="C305" s="4" t="s">
        <v>35</v>
      </c>
      <c r="D305" s="4" t="n">
        <f aca="false">IF(RIGHT(E305,2)=".1",1,IF(RIGHT(E305,2)=".2",2,0))</f>
        <v>0</v>
      </c>
      <c r="E305" s="7" t="s">
        <v>36</v>
      </c>
      <c r="F305" s="1" t="s">
        <v>23</v>
      </c>
      <c r="G305" s="1" t="n">
        <v>638.9</v>
      </c>
      <c r="H305" s="1" t="n">
        <v>625.3</v>
      </c>
      <c r="I305" s="1" t="n">
        <v>23</v>
      </c>
      <c r="J305" s="1" t="n">
        <v>1</v>
      </c>
      <c r="K305" s="1" t="n">
        <v>2.51221</v>
      </c>
      <c r="L305" s="1" t="n">
        <v>0.0468</v>
      </c>
      <c r="M305" s="1" t="n">
        <v>1.863</v>
      </c>
      <c r="N305" s="1" t="n">
        <v>1.592</v>
      </c>
      <c r="O305" s="1" t="n">
        <v>0.967</v>
      </c>
      <c r="P305" s="1" t="n">
        <v>0.2965</v>
      </c>
      <c r="Q305" s="1" t="n">
        <v>31.27</v>
      </c>
      <c r="R305" s="1" t="n">
        <v>-0.01387</v>
      </c>
      <c r="S305" s="1" t="n">
        <v>0.5</v>
      </c>
      <c r="T305" s="5" t="n">
        <v>7.841E-007</v>
      </c>
      <c r="U305" s="5" t="n">
        <v>0.0008374</v>
      </c>
      <c r="V305" s="1" t="n">
        <v>18.17</v>
      </c>
    </row>
    <row r="306" customFormat="false" ht="12.8" hidden="false" customHeight="false" outlineLevel="0" collapsed="false">
      <c r="A306" s="1" t="n">
        <v>26</v>
      </c>
      <c r="B306" s="4" t="s">
        <v>34</v>
      </c>
      <c r="C306" s="4" t="s">
        <v>35</v>
      </c>
      <c r="D306" s="4" t="n">
        <f aca="false">IF(RIGHT(E306,2)=".1",1,IF(RIGHT(E306,2)=".2",2,0))</f>
        <v>0</v>
      </c>
      <c r="E306" s="7" t="s">
        <v>36</v>
      </c>
      <c r="F306" s="1" t="s">
        <v>23</v>
      </c>
      <c r="G306" s="1" t="n">
        <v>664</v>
      </c>
      <c r="H306" s="1" t="n">
        <v>650.3</v>
      </c>
      <c r="I306" s="1" t="n">
        <v>23</v>
      </c>
      <c r="J306" s="1" t="n">
        <v>1</v>
      </c>
      <c r="K306" s="1" t="n">
        <v>3.16651</v>
      </c>
      <c r="L306" s="1" t="n">
        <v>0.05084</v>
      </c>
      <c r="M306" s="1" t="n">
        <v>1.606</v>
      </c>
      <c r="N306" s="1" t="n">
        <v>1.329</v>
      </c>
      <c r="O306" s="1" t="n">
        <v>0.9009</v>
      </c>
      <c r="P306" s="1" t="n">
        <v>0.2555</v>
      </c>
      <c r="Q306" s="1" t="n">
        <v>34.13</v>
      </c>
      <c r="R306" s="1" t="n">
        <v>-0.01405</v>
      </c>
      <c r="S306" s="1" t="n">
        <v>0.5</v>
      </c>
      <c r="T306" s="5" t="n">
        <v>8.518E-007</v>
      </c>
      <c r="U306" s="5" t="n">
        <v>0.001056</v>
      </c>
      <c r="V306" s="1" t="n">
        <v>21.43</v>
      </c>
    </row>
    <row r="307" customFormat="false" ht="12.8" hidden="false" customHeight="false" outlineLevel="0" collapsed="false">
      <c r="A307" s="1" t="n">
        <v>27</v>
      </c>
      <c r="B307" s="4" t="s">
        <v>34</v>
      </c>
      <c r="C307" s="4" t="s">
        <v>35</v>
      </c>
      <c r="D307" s="4" t="n">
        <f aca="false">IF(RIGHT(E307,2)=".1",1,IF(RIGHT(E307,2)=".2",2,0))</f>
        <v>0</v>
      </c>
      <c r="E307" s="7" t="s">
        <v>36</v>
      </c>
      <c r="F307" s="1" t="s">
        <v>23</v>
      </c>
      <c r="G307" s="1" t="n">
        <v>689</v>
      </c>
      <c r="H307" s="1" t="n">
        <v>675.3</v>
      </c>
      <c r="I307" s="1" t="n">
        <v>23</v>
      </c>
      <c r="J307" s="1" t="n">
        <v>1</v>
      </c>
      <c r="K307" s="1" t="n">
        <v>3.97762</v>
      </c>
      <c r="L307" s="1" t="n">
        <v>0.05556</v>
      </c>
      <c r="M307" s="1" t="n">
        <v>1.397</v>
      </c>
      <c r="N307" s="1" t="n">
        <v>1.119</v>
      </c>
      <c r="O307" s="1" t="n">
        <v>0.8363</v>
      </c>
      <c r="P307" s="1" t="n">
        <v>0.2223</v>
      </c>
      <c r="Q307" s="1" t="n">
        <v>36.78</v>
      </c>
      <c r="R307" s="1" t="n">
        <v>-0.01441</v>
      </c>
      <c r="S307" s="1" t="n">
        <v>0.5</v>
      </c>
      <c r="T307" s="5" t="n">
        <v>9.308E-007</v>
      </c>
      <c r="U307" s="5" t="n">
        <v>0.001326</v>
      </c>
      <c r="V307" s="1" t="n">
        <v>22.24</v>
      </c>
    </row>
    <row r="308" customFormat="false" ht="12.8" hidden="false" customHeight="false" outlineLevel="0" collapsed="false">
      <c r="A308" s="1" t="n">
        <v>28</v>
      </c>
      <c r="B308" s="4" t="s">
        <v>34</v>
      </c>
      <c r="C308" s="4" t="s">
        <v>35</v>
      </c>
      <c r="D308" s="4" t="n">
        <f aca="false">IF(RIGHT(E308,2)=".1",1,IF(RIGHT(E308,2)=".2",2,0))</f>
        <v>0</v>
      </c>
      <c r="E308" s="7" t="s">
        <v>36</v>
      </c>
      <c r="F308" s="1" t="s">
        <v>23</v>
      </c>
      <c r="G308" s="1" t="n">
        <v>714</v>
      </c>
      <c r="H308" s="1" t="n">
        <v>700.4</v>
      </c>
      <c r="I308" s="1" t="n">
        <v>23</v>
      </c>
      <c r="J308" s="1" t="n">
        <v>1</v>
      </c>
      <c r="K308" s="1" t="n">
        <v>5.01225</v>
      </c>
      <c r="L308" s="1" t="n">
        <v>0.05954</v>
      </c>
      <c r="M308" s="1" t="n">
        <v>1.188</v>
      </c>
      <c r="N308" s="1" t="n">
        <v>0.9021</v>
      </c>
      <c r="O308" s="1" t="n">
        <v>0.7727</v>
      </c>
      <c r="P308" s="1" t="n">
        <v>0.189</v>
      </c>
      <c r="Q308" s="1" t="n">
        <v>40.58</v>
      </c>
      <c r="R308" s="1" t="n">
        <v>-0.01457</v>
      </c>
      <c r="S308" s="1" t="n">
        <v>0.5</v>
      </c>
      <c r="T308" s="5" t="n">
        <v>9.974E-007</v>
      </c>
      <c r="U308" s="5" t="n">
        <v>0.001671</v>
      </c>
      <c r="V308" s="1" t="n">
        <v>20.23</v>
      </c>
    </row>
    <row r="309" customFormat="false" ht="12.8" hidden="false" customHeight="false" outlineLevel="0" collapsed="false">
      <c r="A309" s="1" t="n">
        <v>29</v>
      </c>
      <c r="B309" s="4" t="s">
        <v>34</v>
      </c>
      <c r="C309" s="4" t="s">
        <v>35</v>
      </c>
      <c r="D309" s="4" t="n">
        <f aca="false">IF(RIGHT(E309,2)=".1",1,IF(RIGHT(E309,2)=".2",2,0))</f>
        <v>0</v>
      </c>
      <c r="E309" s="7" t="s">
        <v>36</v>
      </c>
      <c r="F309" s="1" t="s">
        <v>23</v>
      </c>
      <c r="G309" s="1" t="n">
        <v>739</v>
      </c>
      <c r="H309" s="1" t="n">
        <v>725.4</v>
      </c>
      <c r="I309" s="1" t="n">
        <v>23</v>
      </c>
      <c r="J309" s="1" t="n">
        <v>1</v>
      </c>
      <c r="K309" s="1" t="n">
        <v>6.31006</v>
      </c>
      <c r="L309" s="1" t="n">
        <v>0.06336</v>
      </c>
      <c r="M309" s="1" t="n">
        <v>1.004</v>
      </c>
      <c r="N309" s="1" t="n">
        <v>0.714</v>
      </c>
      <c r="O309" s="1" t="n">
        <v>0.7059</v>
      </c>
      <c r="P309" s="1" t="n">
        <v>0.1598</v>
      </c>
      <c r="Q309" s="1" t="n">
        <v>44.67</v>
      </c>
      <c r="R309" s="1" t="n">
        <v>-0.01382</v>
      </c>
      <c r="S309" s="1" t="n">
        <v>0.5</v>
      </c>
      <c r="T309" s="5" t="n">
        <v>1.061E-006</v>
      </c>
      <c r="U309" s="5" t="n">
        <v>0.002103</v>
      </c>
      <c r="V309" s="1" t="n">
        <v>16.36</v>
      </c>
    </row>
    <row r="310" customFormat="false" ht="12.8" hidden="false" customHeight="false" outlineLevel="0" collapsed="false">
      <c r="A310" s="1" t="n">
        <v>30</v>
      </c>
      <c r="B310" s="4" t="s">
        <v>34</v>
      </c>
      <c r="C310" s="4" t="s">
        <v>35</v>
      </c>
      <c r="D310" s="4" t="n">
        <f aca="false">IF(RIGHT(E310,2)=".1",1,IF(RIGHT(E310,2)=".2",2,0))</f>
        <v>0</v>
      </c>
      <c r="E310" s="7" t="s">
        <v>36</v>
      </c>
      <c r="F310" s="1" t="s">
        <v>23</v>
      </c>
      <c r="G310" s="1" t="n">
        <v>764</v>
      </c>
      <c r="H310" s="1" t="n">
        <v>750.4</v>
      </c>
      <c r="I310" s="1" t="n">
        <v>23</v>
      </c>
      <c r="J310" s="1" t="n">
        <v>1</v>
      </c>
      <c r="K310" s="1" t="n">
        <v>7.94581</v>
      </c>
      <c r="L310" s="1" t="n">
        <v>0.06852</v>
      </c>
      <c r="M310" s="1" t="n">
        <v>0.8624</v>
      </c>
      <c r="N310" s="1" t="n">
        <v>0.5964</v>
      </c>
      <c r="O310" s="1" t="n">
        <v>0.6228</v>
      </c>
      <c r="P310" s="1" t="n">
        <v>0.1372</v>
      </c>
      <c r="Q310" s="1" t="n">
        <v>46.24</v>
      </c>
      <c r="R310" s="1" t="n">
        <v>-0.01479</v>
      </c>
      <c r="S310" s="1" t="n">
        <v>0.5</v>
      </c>
      <c r="T310" s="5" t="n">
        <v>1.148E-006</v>
      </c>
      <c r="U310" s="5" t="n">
        <v>0.002649</v>
      </c>
      <c r="V310" s="1" t="n">
        <v>16.24</v>
      </c>
    </row>
    <row r="311" customFormat="false" ht="12.8" hidden="false" customHeight="false" outlineLevel="0" collapsed="false">
      <c r="A311" s="1" t="n">
        <v>31</v>
      </c>
      <c r="B311" s="4" t="s">
        <v>34</v>
      </c>
      <c r="C311" s="4" t="s">
        <v>35</v>
      </c>
      <c r="D311" s="4" t="n">
        <f aca="false">IF(RIGHT(E311,2)=".1",1,IF(RIGHT(E311,2)=".2",2,0))</f>
        <v>0</v>
      </c>
      <c r="E311" s="7" t="s">
        <v>36</v>
      </c>
      <c r="F311" s="1" t="s">
        <v>23</v>
      </c>
      <c r="G311" s="1" t="n">
        <v>789</v>
      </c>
      <c r="H311" s="1" t="n">
        <v>775.4</v>
      </c>
      <c r="I311" s="1" t="n">
        <v>23</v>
      </c>
      <c r="J311" s="1" t="n">
        <v>1</v>
      </c>
      <c r="K311" s="1" t="n">
        <v>10.0095</v>
      </c>
      <c r="L311" s="1" t="n">
        <v>0.06913</v>
      </c>
      <c r="M311" s="1" t="n">
        <v>0.6907</v>
      </c>
      <c r="N311" s="1" t="n">
        <v>0.4626</v>
      </c>
      <c r="O311" s="1" t="n">
        <v>0.5128</v>
      </c>
      <c r="P311" s="1" t="n">
        <v>0.1099</v>
      </c>
      <c r="Q311" s="1" t="n">
        <v>47.95</v>
      </c>
      <c r="R311" s="1" t="n">
        <v>-0.01453</v>
      </c>
      <c r="S311" s="1" t="n">
        <v>0.5</v>
      </c>
      <c r="T311" s="5" t="n">
        <v>1.158E-006</v>
      </c>
      <c r="U311" s="5" t="n">
        <v>0.003337</v>
      </c>
      <c r="V311" s="1" t="n">
        <v>11.07</v>
      </c>
    </row>
    <row r="312" customFormat="false" ht="12.8" hidden="false" customHeight="false" outlineLevel="0" collapsed="false">
      <c r="A312" s="1" t="n">
        <v>1</v>
      </c>
      <c r="B312" s="4" t="s">
        <v>34</v>
      </c>
      <c r="C312" s="4" t="s">
        <v>35</v>
      </c>
      <c r="D312" s="4" t="n">
        <v>1</v>
      </c>
      <c r="E312" s="6" t="s">
        <v>37</v>
      </c>
      <c r="F312" s="1" t="s">
        <v>23</v>
      </c>
      <c r="G312" s="1" t="n">
        <v>41.08</v>
      </c>
      <c r="H312" s="1" t="n">
        <v>25</v>
      </c>
      <c r="I312" s="1" t="n">
        <v>23.06</v>
      </c>
      <c r="J312" s="1" t="n">
        <v>1</v>
      </c>
      <c r="K312" s="5" t="n">
        <v>0.00977449</v>
      </c>
      <c r="L312" s="5" t="n">
        <v>0.0005008</v>
      </c>
      <c r="M312" s="1" t="n">
        <v>5.124</v>
      </c>
      <c r="N312" s="1" t="n">
        <v>4.99</v>
      </c>
      <c r="O312" s="1" t="n">
        <v>1.162</v>
      </c>
      <c r="P312" s="1" t="n">
        <v>0.8155</v>
      </c>
      <c r="Q312" s="1" t="n">
        <v>13.11</v>
      </c>
      <c r="R312" s="1" t="n">
        <v>-0.01301</v>
      </c>
      <c r="S312" s="1" t="n">
        <v>0.5</v>
      </c>
      <c r="T312" s="5" t="n">
        <v>8.391E-009</v>
      </c>
      <c r="U312" s="5" t="n">
        <v>3.258E-006</v>
      </c>
      <c r="V312" s="1" t="n">
        <v>18.91</v>
      </c>
    </row>
    <row r="313" customFormat="false" ht="12.8" hidden="false" customHeight="false" outlineLevel="0" collapsed="false">
      <c r="A313" s="1" t="n">
        <v>2</v>
      </c>
      <c r="B313" s="4" t="s">
        <v>34</v>
      </c>
      <c r="C313" s="4" t="s">
        <v>35</v>
      </c>
      <c r="D313" s="4" t="n">
        <v>1</v>
      </c>
      <c r="E313" s="6" t="s">
        <v>37</v>
      </c>
      <c r="F313" s="1" t="s">
        <v>23</v>
      </c>
      <c r="G313" s="1" t="n">
        <v>66.08</v>
      </c>
      <c r="H313" s="1" t="n">
        <v>50.01</v>
      </c>
      <c r="I313" s="1" t="n">
        <v>23.04</v>
      </c>
      <c r="J313" s="1" t="n">
        <v>1</v>
      </c>
      <c r="K313" s="1" t="n">
        <v>0.0118633</v>
      </c>
      <c r="L313" s="5" t="n">
        <v>0.0006185</v>
      </c>
      <c r="M313" s="1" t="n">
        <v>5.213</v>
      </c>
      <c r="N313" s="1" t="n">
        <v>5.077</v>
      </c>
      <c r="O313" s="1" t="n">
        <v>1.187</v>
      </c>
      <c r="P313" s="1" t="n">
        <v>0.8298</v>
      </c>
      <c r="Q313" s="1" t="n">
        <v>13.16</v>
      </c>
      <c r="R313" s="1" t="n">
        <v>-0.01296</v>
      </c>
      <c r="S313" s="1" t="n">
        <v>0.5</v>
      </c>
      <c r="T313" s="5" t="n">
        <v>1.036E-008</v>
      </c>
      <c r="U313" s="5" t="n">
        <v>3.955E-006</v>
      </c>
      <c r="V313" s="1" t="n">
        <v>16.24</v>
      </c>
    </row>
    <row r="314" customFormat="false" ht="12.8" hidden="false" customHeight="false" outlineLevel="0" collapsed="false">
      <c r="A314" s="1" t="n">
        <v>3</v>
      </c>
      <c r="B314" s="4" t="s">
        <v>34</v>
      </c>
      <c r="C314" s="4" t="s">
        <v>35</v>
      </c>
      <c r="D314" s="4" t="n">
        <v>1</v>
      </c>
      <c r="E314" s="6" t="s">
        <v>37</v>
      </c>
      <c r="F314" s="1" t="s">
        <v>23</v>
      </c>
      <c r="G314" s="1" t="n">
        <v>91.1</v>
      </c>
      <c r="H314" s="1" t="n">
        <v>75.02</v>
      </c>
      <c r="I314" s="1" t="n">
        <v>23.04</v>
      </c>
      <c r="J314" s="1" t="n">
        <v>1</v>
      </c>
      <c r="K314" s="1" t="n">
        <v>0.0170144</v>
      </c>
      <c r="L314" s="5" t="n">
        <v>0.0009012</v>
      </c>
      <c r="M314" s="1" t="n">
        <v>5.297</v>
      </c>
      <c r="N314" s="1" t="n">
        <v>5.153</v>
      </c>
      <c r="O314" s="1" t="n">
        <v>1.224</v>
      </c>
      <c r="P314" s="1" t="n">
        <v>0.843</v>
      </c>
      <c r="Q314" s="1" t="n">
        <v>13.36</v>
      </c>
      <c r="R314" s="1" t="n">
        <v>-0.01283</v>
      </c>
      <c r="S314" s="1" t="n">
        <v>0.5</v>
      </c>
      <c r="T314" s="5" t="n">
        <v>1.51E-008</v>
      </c>
      <c r="U314" s="5" t="n">
        <v>5.672E-006</v>
      </c>
      <c r="V314" s="1" t="n">
        <v>5.248</v>
      </c>
    </row>
    <row r="315" customFormat="false" ht="12.8" hidden="false" customHeight="false" outlineLevel="0" collapsed="false">
      <c r="A315" s="1" t="n">
        <v>4</v>
      </c>
      <c r="B315" s="4" t="s">
        <v>34</v>
      </c>
      <c r="C315" s="4" t="s">
        <v>35</v>
      </c>
      <c r="D315" s="4" t="n">
        <v>1</v>
      </c>
      <c r="E315" s="6" t="s">
        <v>37</v>
      </c>
      <c r="F315" s="1" t="s">
        <v>23</v>
      </c>
      <c r="G315" s="1" t="n">
        <v>116.1</v>
      </c>
      <c r="H315" s="1" t="n">
        <v>100</v>
      </c>
      <c r="I315" s="1" t="n">
        <v>23.03</v>
      </c>
      <c r="J315" s="1" t="n">
        <v>1</v>
      </c>
      <c r="K315" s="1" t="n">
        <v>0.0201569</v>
      </c>
      <c r="L315" s="5" t="n">
        <v>0.001038</v>
      </c>
      <c r="M315" s="1" t="n">
        <v>5.151</v>
      </c>
      <c r="N315" s="1" t="n">
        <v>5.041</v>
      </c>
      <c r="O315" s="1" t="n">
        <v>1.057</v>
      </c>
      <c r="P315" s="1" t="n">
        <v>0.8197</v>
      </c>
      <c r="Q315" s="1" t="n">
        <v>11.84</v>
      </c>
      <c r="R315" s="1" t="n">
        <v>-0.01306</v>
      </c>
      <c r="S315" s="1" t="n">
        <v>0.5</v>
      </c>
      <c r="T315" s="5" t="n">
        <v>1.739E-008</v>
      </c>
      <c r="U315" s="5" t="n">
        <v>6.719E-006</v>
      </c>
      <c r="V315" s="1" t="n">
        <v>7.919</v>
      </c>
    </row>
    <row r="316" customFormat="false" ht="12.8" hidden="false" customHeight="false" outlineLevel="0" collapsed="false">
      <c r="A316" s="1" t="n">
        <v>5</v>
      </c>
      <c r="B316" s="4" t="s">
        <v>34</v>
      </c>
      <c r="C316" s="4" t="s">
        <v>35</v>
      </c>
      <c r="D316" s="4" t="n">
        <v>1</v>
      </c>
      <c r="E316" s="6" t="s">
        <v>37</v>
      </c>
      <c r="F316" s="1" t="s">
        <v>23</v>
      </c>
      <c r="G316" s="1" t="n">
        <v>141.1</v>
      </c>
      <c r="H316" s="1" t="n">
        <v>125</v>
      </c>
      <c r="I316" s="1" t="n">
        <v>23.02</v>
      </c>
      <c r="J316" s="1" t="n">
        <v>1</v>
      </c>
      <c r="K316" s="1" t="n">
        <v>0.0239626</v>
      </c>
      <c r="L316" s="5" t="n">
        <v>0.001225</v>
      </c>
      <c r="M316" s="1" t="n">
        <v>5.113</v>
      </c>
      <c r="N316" s="1" t="n">
        <v>4.998</v>
      </c>
      <c r="O316" s="1" t="n">
        <v>1.079</v>
      </c>
      <c r="P316" s="1" t="n">
        <v>0.8138</v>
      </c>
      <c r="Q316" s="1" t="n">
        <v>12.18</v>
      </c>
      <c r="R316" s="1" t="n">
        <v>-0.01384</v>
      </c>
      <c r="S316" s="1" t="n">
        <v>0.5</v>
      </c>
      <c r="T316" s="5" t="n">
        <v>2.053E-008</v>
      </c>
      <c r="U316" s="5" t="n">
        <v>7.988E-006</v>
      </c>
      <c r="V316" s="1" t="n">
        <v>4.627</v>
      </c>
    </row>
    <row r="317" customFormat="false" ht="12.8" hidden="false" customHeight="false" outlineLevel="0" collapsed="false">
      <c r="A317" s="1" t="n">
        <v>6</v>
      </c>
      <c r="B317" s="4" t="s">
        <v>34</v>
      </c>
      <c r="C317" s="4" t="s">
        <v>35</v>
      </c>
      <c r="D317" s="4" t="n">
        <v>1</v>
      </c>
      <c r="E317" s="6" t="s">
        <v>37</v>
      </c>
      <c r="F317" s="1" t="s">
        <v>23</v>
      </c>
      <c r="G317" s="1" t="n">
        <v>166.1</v>
      </c>
      <c r="H317" s="1" t="n">
        <v>150.1</v>
      </c>
      <c r="I317" s="1" t="n">
        <v>23.02</v>
      </c>
      <c r="J317" s="1" t="n">
        <v>1</v>
      </c>
      <c r="K317" s="1" t="n">
        <v>0.0317143</v>
      </c>
      <c r="L317" s="5" t="n">
        <v>0.001562</v>
      </c>
      <c r="M317" s="1" t="n">
        <v>4.926</v>
      </c>
      <c r="N317" s="1" t="n">
        <v>4.803</v>
      </c>
      <c r="O317" s="1" t="n">
        <v>1.094</v>
      </c>
      <c r="P317" s="1" t="n">
        <v>0.784</v>
      </c>
      <c r="Q317" s="1" t="n">
        <v>12.83</v>
      </c>
      <c r="R317" s="1" t="n">
        <v>-0.01406</v>
      </c>
      <c r="S317" s="1" t="n">
        <v>0.5</v>
      </c>
      <c r="T317" s="5" t="n">
        <v>2.617E-008</v>
      </c>
      <c r="U317" s="5" t="n">
        <v>1.057E-005</v>
      </c>
      <c r="V317" s="1" t="n">
        <v>4.616</v>
      </c>
    </row>
    <row r="318" customFormat="false" ht="12.8" hidden="false" customHeight="false" outlineLevel="0" collapsed="false">
      <c r="A318" s="1" t="n">
        <v>7</v>
      </c>
      <c r="B318" s="4" t="s">
        <v>34</v>
      </c>
      <c r="C318" s="4" t="s">
        <v>35</v>
      </c>
      <c r="D318" s="4" t="n">
        <v>1</v>
      </c>
      <c r="E318" s="6" t="s">
        <v>37</v>
      </c>
      <c r="F318" s="1" t="s">
        <v>23</v>
      </c>
      <c r="G318" s="1" t="n">
        <v>191.1</v>
      </c>
      <c r="H318" s="1" t="n">
        <v>175.1</v>
      </c>
      <c r="I318" s="1" t="n">
        <v>23.01</v>
      </c>
      <c r="J318" s="1" t="n">
        <v>1</v>
      </c>
      <c r="K318" s="1" t="n">
        <v>0.0402243</v>
      </c>
      <c r="L318" s="5" t="n">
        <v>0.001941</v>
      </c>
      <c r="M318" s="1" t="n">
        <v>4.824</v>
      </c>
      <c r="N318" s="1" t="n">
        <v>4.714</v>
      </c>
      <c r="O318" s="1" t="n">
        <v>1.025</v>
      </c>
      <c r="P318" s="1" t="n">
        <v>0.7678</v>
      </c>
      <c r="Q318" s="1" t="n">
        <v>12.26</v>
      </c>
      <c r="R318" s="1" t="n">
        <v>-0.01429</v>
      </c>
      <c r="S318" s="1" t="n">
        <v>0.5</v>
      </c>
      <c r="T318" s="5" t="n">
        <v>3.251E-008</v>
      </c>
      <c r="U318" s="5" t="n">
        <v>1.341E-005</v>
      </c>
      <c r="V318" s="1" t="n">
        <v>4.294</v>
      </c>
    </row>
    <row r="319" customFormat="false" ht="12.8" hidden="false" customHeight="false" outlineLevel="0" collapsed="false">
      <c r="A319" s="1" t="n">
        <v>8</v>
      </c>
      <c r="B319" s="4" t="s">
        <v>34</v>
      </c>
      <c r="C319" s="4" t="s">
        <v>35</v>
      </c>
      <c r="D319" s="4" t="n">
        <v>1</v>
      </c>
      <c r="E319" s="6" t="s">
        <v>37</v>
      </c>
      <c r="F319" s="1" t="s">
        <v>23</v>
      </c>
      <c r="G319" s="1" t="n">
        <v>216.2</v>
      </c>
      <c r="H319" s="1" t="n">
        <v>200.1</v>
      </c>
      <c r="I319" s="1" t="n">
        <v>23.01</v>
      </c>
      <c r="J319" s="1" t="n">
        <v>1</v>
      </c>
      <c r="K319" s="1" t="n">
        <v>0.0492392</v>
      </c>
      <c r="L319" s="5" t="n">
        <v>0.00234</v>
      </c>
      <c r="M319" s="1" t="n">
        <v>4.752</v>
      </c>
      <c r="N319" s="1" t="n">
        <v>4.624</v>
      </c>
      <c r="O319" s="1" t="n">
        <v>1.095</v>
      </c>
      <c r="P319" s="1" t="n">
        <v>0.7563</v>
      </c>
      <c r="Q319" s="1" t="n">
        <v>13.33</v>
      </c>
      <c r="R319" s="1" t="n">
        <v>-0.01374</v>
      </c>
      <c r="S319" s="1" t="n">
        <v>0.5</v>
      </c>
      <c r="T319" s="5" t="n">
        <v>3.92E-008</v>
      </c>
      <c r="U319" s="5" t="n">
        <v>1.641E-005</v>
      </c>
      <c r="V319" s="1" t="n">
        <v>6.528</v>
      </c>
    </row>
    <row r="320" customFormat="false" ht="12.8" hidden="false" customHeight="false" outlineLevel="0" collapsed="false">
      <c r="A320" s="1" t="n">
        <v>9</v>
      </c>
      <c r="B320" s="4" t="s">
        <v>34</v>
      </c>
      <c r="C320" s="4" t="s">
        <v>35</v>
      </c>
      <c r="D320" s="4" t="n">
        <v>1</v>
      </c>
      <c r="E320" s="6" t="s">
        <v>37</v>
      </c>
      <c r="F320" s="1" t="s">
        <v>23</v>
      </c>
      <c r="G320" s="1" t="n">
        <v>241.2</v>
      </c>
      <c r="H320" s="1" t="n">
        <v>225.1</v>
      </c>
      <c r="I320" s="1" t="n">
        <v>23.01</v>
      </c>
      <c r="J320" s="1" t="n">
        <v>1</v>
      </c>
      <c r="K320" s="1" t="n">
        <v>0.063545</v>
      </c>
      <c r="L320" s="5" t="n">
        <v>0.003007</v>
      </c>
      <c r="M320" s="1" t="n">
        <v>4.733</v>
      </c>
      <c r="N320" s="1" t="n">
        <v>4.599</v>
      </c>
      <c r="O320" s="1" t="n">
        <v>1.117</v>
      </c>
      <c r="P320" s="1" t="n">
        <v>0.7532</v>
      </c>
      <c r="Q320" s="1" t="n">
        <v>13.65</v>
      </c>
      <c r="R320" s="1" t="n">
        <v>-0.0141</v>
      </c>
      <c r="S320" s="1" t="n">
        <v>0.5</v>
      </c>
      <c r="T320" s="5" t="n">
        <v>5.038E-008</v>
      </c>
      <c r="U320" s="5" t="n">
        <v>2.118E-005</v>
      </c>
      <c r="V320" s="1" t="n">
        <v>9.109</v>
      </c>
    </row>
    <row r="321" customFormat="false" ht="12.8" hidden="false" customHeight="false" outlineLevel="0" collapsed="false">
      <c r="A321" s="1" t="n">
        <v>10</v>
      </c>
      <c r="B321" s="4" t="s">
        <v>34</v>
      </c>
      <c r="C321" s="4" t="s">
        <v>35</v>
      </c>
      <c r="D321" s="4" t="n">
        <v>1</v>
      </c>
      <c r="E321" s="6" t="s">
        <v>37</v>
      </c>
      <c r="F321" s="1" t="s">
        <v>23</v>
      </c>
      <c r="G321" s="1" t="n">
        <v>266.2</v>
      </c>
      <c r="H321" s="1" t="n">
        <v>250.1</v>
      </c>
      <c r="I321" s="1" t="n">
        <v>23.01</v>
      </c>
      <c r="J321" s="1" t="n">
        <v>1</v>
      </c>
      <c r="K321" s="1" t="n">
        <v>0.0795389</v>
      </c>
      <c r="L321" s="5" t="n">
        <v>0.003713</v>
      </c>
      <c r="M321" s="1" t="n">
        <v>4.668</v>
      </c>
      <c r="N321" s="1" t="n">
        <v>4.532</v>
      </c>
      <c r="O321" s="1" t="n">
        <v>1.117</v>
      </c>
      <c r="P321" s="1" t="n">
        <v>0.7429</v>
      </c>
      <c r="Q321" s="1" t="n">
        <v>13.84</v>
      </c>
      <c r="R321" s="1" t="n">
        <v>-0.01442</v>
      </c>
      <c r="S321" s="1" t="n">
        <v>0.5</v>
      </c>
      <c r="T321" s="5" t="n">
        <v>6.22E-008</v>
      </c>
      <c r="U321" s="5" t="n">
        <v>2.651E-005</v>
      </c>
      <c r="V321" s="1" t="n">
        <v>9.796</v>
      </c>
    </row>
    <row r="322" customFormat="false" ht="12.8" hidden="false" customHeight="false" outlineLevel="0" collapsed="false">
      <c r="A322" s="1" t="n">
        <v>11</v>
      </c>
      <c r="B322" s="4" t="s">
        <v>34</v>
      </c>
      <c r="C322" s="4" t="s">
        <v>35</v>
      </c>
      <c r="D322" s="4" t="n">
        <v>1</v>
      </c>
      <c r="E322" s="6" t="s">
        <v>37</v>
      </c>
      <c r="F322" s="1" t="s">
        <v>23</v>
      </c>
      <c r="G322" s="1" t="n">
        <v>291.2</v>
      </c>
      <c r="H322" s="1" t="n">
        <v>275.1</v>
      </c>
      <c r="I322" s="1" t="n">
        <v>23</v>
      </c>
      <c r="J322" s="1" t="n">
        <v>1</v>
      </c>
      <c r="K322" s="1" t="n">
        <v>0.099268</v>
      </c>
      <c r="L322" s="5" t="n">
        <v>0.004511</v>
      </c>
      <c r="M322" s="1" t="n">
        <v>4.544</v>
      </c>
      <c r="N322" s="1" t="n">
        <v>4.406</v>
      </c>
      <c r="O322" s="1" t="n">
        <v>1.111</v>
      </c>
      <c r="P322" s="1" t="n">
        <v>0.7232</v>
      </c>
      <c r="Q322" s="1" t="n">
        <v>14.15</v>
      </c>
      <c r="R322" s="1" t="n">
        <v>-0.0149</v>
      </c>
      <c r="S322" s="1" t="n">
        <v>0.5</v>
      </c>
      <c r="T322" s="5" t="n">
        <v>7.557E-008</v>
      </c>
      <c r="U322" s="5" t="n">
        <v>3.309E-005</v>
      </c>
      <c r="V322" s="1" t="n">
        <v>5.52</v>
      </c>
    </row>
    <row r="323" customFormat="false" ht="12.8" hidden="false" customHeight="false" outlineLevel="0" collapsed="false">
      <c r="A323" s="1" t="n">
        <v>12</v>
      </c>
      <c r="B323" s="4" t="s">
        <v>34</v>
      </c>
      <c r="C323" s="4" t="s">
        <v>35</v>
      </c>
      <c r="D323" s="4" t="n">
        <v>1</v>
      </c>
      <c r="E323" s="6" t="s">
        <v>37</v>
      </c>
      <c r="F323" s="1" t="s">
        <v>23</v>
      </c>
      <c r="G323" s="1" t="n">
        <v>316.2</v>
      </c>
      <c r="H323" s="1" t="n">
        <v>300.1</v>
      </c>
      <c r="I323" s="1" t="n">
        <v>23</v>
      </c>
      <c r="J323" s="1" t="n">
        <v>1</v>
      </c>
      <c r="K323" s="1" t="n">
        <v>0.126552</v>
      </c>
      <c r="L323" s="5" t="n">
        <v>0.005556</v>
      </c>
      <c r="M323" s="1" t="n">
        <v>4.39</v>
      </c>
      <c r="N323" s="1" t="n">
        <v>4.255</v>
      </c>
      <c r="O323" s="1" t="n">
        <v>1.083</v>
      </c>
      <c r="P323" s="1" t="n">
        <v>0.6987</v>
      </c>
      <c r="Q323" s="1" t="n">
        <v>14.27</v>
      </c>
      <c r="R323" s="1" t="n">
        <v>-0.01422</v>
      </c>
      <c r="S323" s="1" t="n">
        <v>0.5</v>
      </c>
      <c r="T323" s="5" t="n">
        <v>9.308E-008</v>
      </c>
      <c r="U323" s="5" t="n">
        <v>4.219E-005</v>
      </c>
      <c r="V323" s="1" t="n">
        <v>4.788</v>
      </c>
    </row>
    <row r="324" customFormat="false" ht="12.8" hidden="false" customHeight="false" outlineLevel="0" collapsed="false">
      <c r="A324" s="1" t="n">
        <v>13</v>
      </c>
      <c r="B324" s="4" t="s">
        <v>34</v>
      </c>
      <c r="C324" s="4" t="s">
        <v>35</v>
      </c>
      <c r="D324" s="4" t="n">
        <v>1</v>
      </c>
      <c r="E324" s="6" t="s">
        <v>37</v>
      </c>
      <c r="F324" s="1" t="s">
        <v>23</v>
      </c>
      <c r="G324" s="1" t="n">
        <v>341.2</v>
      </c>
      <c r="H324" s="1" t="n">
        <v>325.2</v>
      </c>
      <c r="I324" s="1" t="n">
        <v>23</v>
      </c>
      <c r="J324" s="1" t="n">
        <v>1</v>
      </c>
      <c r="K324" s="1" t="n">
        <v>0.159072</v>
      </c>
      <c r="L324" s="5" t="n">
        <v>0.006768</v>
      </c>
      <c r="M324" s="1" t="n">
        <v>4.255</v>
      </c>
      <c r="N324" s="1" t="n">
        <v>4.117</v>
      </c>
      <c r="O324" s="1" t="n">
        <v>1.075</v>
      </c>
      <c r="P324" s="1" t="n">
        <v>0.6772</v>
      </c>
      <c r="Q324" s="1" t="n">
        <v>14.64</v>
      </c>
      <c r="R324" s="1" t="n">
        <v>-0.01495</v>
      </c>
      <c r="S324" s="1" t="n">
        <v>0.5</v>
      </c>
      <c r="T324" s="5" t="n">
        <v>1.134E-007</v>
      </c>
      <c r="U324" s="5" t="n">
        <v>5.303E-005</v>
      </c>
      <c r="V324" s="1" t="n">
        <v>6.949</v>
      </c>
    </row>
    <row r="325" customFormat="false" ht="12.8" hidden="false" customHeight="false" outlineLevel="0" collapsed="false">
      <c r="A325" s="1" t="n">
        <v>14</v>
      </c>
      <c r="B325" s="4" t="s">
        <v>34</v>
      </c>
      <c r="C325" s="4" t="s">
        <v>35</v>
      </c>
      <c r="D325" s="4" t="n">
        <v>1</v>
      </c>
      <c r="E325" s="6" t="s">
        <v>37</v>
      </c>
      <c r="F325" s="1" t="s">
        <v>23</v>
      </c>
      <c r="G325" s="1" t="n">
        <v>366.2</v>
      </c>
      <c r="H325" s="1" t="n">
        <v>350.2</v>
      </c>
      <c r="I325" s="1" t="n">
        <v>23</v>
      </c>
      <c r="J325" s="1" t="n">
        <v>1</v>
      </c>
      <c r="K325" s="1" t="n">
        <v>0.1985</v>
      </c>
      <c r="L325" s="5" t="n">
        <v>0.008131</v>
      </c>
      <c r="M325" s="1" t="n">
        <v>4.096</v>
      </c>
      <c r="N325" s="1" t="n">
        <v>3.953</v>
      </c>
      <c r="O325" s="1" t="n">
        <v>1.074</v>
      </c>
      <c r="P325" s="1" t="n">
        <v>0.652</v>
      </c>
      <c r="Q325" s="1" t="n">
        <v>15.2</v>
      </c>
      <c r="R325" s="1" t="n">
        <v>-0.01512</v>
      </c>
      <c r="S325" s="1" t="n">
        <v>0.5</v>
      </c>
      <c r="T325" s="5" t="n">
        <v>1.362E-007</v>
      </c>
      <c r="U325" s="5" t="n">
        <v>6.617E-005</v>
      </c>
      <c r="V325" s="1" t="n">
        <v>5.35</v>
      </c>
    </row>
    <row r="326" customFormat="false" ht="12.8" hidden="false" customHeight="false" outlineLevel="0" collapsed="false">
      <c r="A326" s="1" t="n">
        <v>15</v>
      </c>
      <c r="B326" s="4" t="s">
        <v>34</v>
      </c>
      <c r="C326" s="4" t="s">
        <v>35</v>
      </c>
      <c r="D326" s="4" t="n">
        <v>1</v>
      </c>
      <c r="E326" s="6" t="s">
        <v>37</v>
      </c>
      <c r="F326" s="1" t="s">
        <v>23</v>
      </c>
      <c r="G326" s="1" t="n">
        <v>391.3</v>
      </c>
      <c r="H326" s="1" t="n">
        <v>375.2</v>
      </c>
      <c r="I326" s="1" t="n">
        <v>23</v>
      </c>
      <c r="J326" s="1" t="n">
        <v>1</v>
      </c>
      <c r="K326" s="1" t="n">
        <v>0.250747</v>
      </c>
      <c r="L326" s="5" t="n">
        <v>0.009793</v>
      </c>
      <c r="M326" s="1" t="n">
        <v>3.906</v>
      </c>
      <c r="N326" s="1" t="n">
        <v>3.762</v>
      </c>
      <c r="O326" s="1" t="n">
        <v>1.05</v>
      </c>
      <c r="P326" s="1" t="n">
        <v>0.6216</v>
      </c>
      <c r="Q326" s="1" t="n">
        <v>15.59</v>
      </c>
      <c r="R326" s="1" t="n">
        <v>-0.01505</v>
      </c>
      <c r="S326" s="1" t="n">
        <v>0.5</v>
      </c>
      <c r="T326" s="5" t="n">
        <v>1.641E-007</v>
      </c>
      <c r="U326" s="5" t="n">
        <v>8.359E-005</v>
      </c>
      <c r="V326" s="1" t="n">
        <v>3.992</v>
      </c>
    </row>
    <row r="327" customFormat="false" ht="12.8" hidden="false" customHeight="false" outlineLevel="0" collapsed="false">
      <c r="A327" s="1" t="n">
        <v>16</v>
      </c>
      <c r="B327" s="4" t="s">
        <v>34</v>
      </c>
      <c r="C327" s="4" t="s">
        <v>35</v>
      </c>
      <c r="D327" s="4" t="n">
        <v>1</v>
      </c>
      <c r="E327" s="6" t="s">
        <v>37</v>
      </c>
      <c r="F327" s="1" t="s">
        <v>23</v>
      </c>
      <c r="G327" s="1" t="n">
        <v>416.3</v>
      </c>
      <c r="H327" s="1" t="n">
        <v>400.2</v>
      </c>
      <c r="I327" s="1" t="n">
        <v>23</v>
      </c>
      <c r="J327" s="1" t="n">
        <v>1</v>
      </c>
      <c r="K327" s="1" t="n">
        <v>0.317405</v>
      </c>
      <c r="L327" s="1" t="n">
        <v>0.01165</v>
      </c>
      <c r="M327" s="1" t="n">
        <v>3.671</v>
      </c>
      <c r="N327" s="1" t="n">
        <v>3.528</v>
      </c>
      <c r="O327" s="1" t="n">
        <v>1.018</v>
      </c>
      <c r="P327" s="1" t="n">
        <v>0.5843</v>
      </c>
      <c r="Q327" s="1" t="n">
        <v>16.1</v>
      </c>
      <c r="R327" s="1" t="n">
        <v>-0.01515</v>
      </c>
      <c r="S327" s="1" t="n">
        <v>0.5</v>
      </c>
      <c r="T327" s="5" t="n">
        <v>1.952E-007</v>
      </c>
      <c r="U327" s="5" t="n">
        <v>0.0001058</v>
      </c>
      <c r="V327" s="1" t="n">
        <v>4.17</v>
      </c>
    </row>
    <row r="328" customFormat="false" ht="12.8" hidden="false" customHeight="false" outlineLevel="0" collapsed="false">
      <c r="A328" s="1" t="n">
        <v>17</v>
      </c>
      <c r="B328" s="4" t="s">
        <v>34</v>
      </c>
      <c r="C328" s="4" t="s">
        <v>35</v>
      </c>
      <c r="D328" s="4" t="n">
        <v>1</v>
      </c>
      <c r="E328" s="6" t="s">
        <v>37</v>
      </c>
      <c r="F328" s="1" t="s">
        <v>23</v>
      </c>
      <c r="G328" s="1" t="n">
        <v>441.3</v>
      </c>
      <c r="H328" s="1" t="n">
        <v>425.2</v>
      </c>
      <c r="I328" s="1" t="n">
        <v>23</v>
      </c>
      <c r="J328" s="1" t="n">
        <v>1</v>
      </c>
      <c r="K328" s="1" t="n">
        <v>0.398026</v>
      </c>
      <c r="L328" s="1" t="n">
        <v>0.01369</v>
      </c>
      <c r="M328" s="1" t="n">
        <v>3.44</v>
      </c>
      <c r="N328" s="1" t="n">
        <v>3.293</v>
      </c>
      <c r="O328" s="1" t="n">
        <v>0.9958</v>
      </c>
      <c r="P328" s="1" t="n">
        <v>0.5476</v>
      </c>
      <c r="Q328" s="1" t="n">
        <v>16.83</v>
      </c>
      <c r="R328" s="1" t="n">
        <v>-0.01537</v>
      </c>
      <c r="S328" s="1" t="n">
        <v>0.5</v>
      </c>
      <c r="T328" s="5" t="n">
        <v>2.294E-007</v>
      </c>
      <c r="U328" s="5" t="n">
        <v>0.0001327</v>
      </c>
      <c r="V328" s="1" t="n">
        <v>4.704</v>
      </c>
    </row>
    <row r="329" customFormat="false" ht="12.8" hidden="false" customHeight="false" outlineLevel="0" collapsed="false">
      <c r="A329" s="1" t="n">
        <v>18</v>
      </c>
      <c r="B329" s="4" t="s">
        <v>34</v>
      </c>
      <c r="C329" s="4" t="s">
        <v>35</v>
      </c>
      <c r="D329" s="4" t="n">
        <v>1</v>
      </c>
      <c r="E329" s="6" t="s">
        <v>37</v>
      </c>
      <c r="F329" s="1" t="s">
        <v>23</v>
      </c>
      <c r="G329" s="1" t="n">
        <v>466.3</v>
      </c>
      <c r="H329" s="1" t="n">
        <v>450.2</v>
      </c>
      <c r="I329" s="1" t="n">
        <v>23</v>
      </c>
      <c r="J329" s="1" t="n">
        <v>1</v>
      </c>
      <c r="K329" s="1" t="n">
        <v>0.499724</v>
      </c>
      <c r="L329" s="1" t="n">
        <v>0.01604</v>
      </c>
      <c r="M329" s="1" t="n">
        <v>3.209</v>
      </c>
      <c r="N329" s="1" t="n">
        <v>3.059</v>
      </c>
      <c r="O329" s="1" t="n">
        <v>0.9704</v>
      </c>
      <c r="P329" s="1" t="n">
        <v>0.5107</v>
      </c>
      <c r="Q329" s="1" t="n">
        <v>17.6</v>
      </c>
      <c r="R329" s="1" t="n">
        <v>-0.01624</v>
      </c>
      <c r="S329" s="1" t="n">
        <v>0.5</v>
      </c>
      <c r="T329" s="5" t="n">
        <v>2.686E-007</v>
      </c>
      <c r="U329" s="5" t="n">
        <v>0.0001666</v>
      </c>
      <c r="V329" s="1" t="n">
        <v>4.784</v>
      </c>
    </row>
    <row r="330" customFormat="false" ht="12.8" hidden="false" customHeight="false" outlineLevel="0" collapsed="false">
      <c r="A330" s="1" t="n">
        <v>19</v>
      </c>
      <c r="B330" s="4" t="s">
        <v>34</v>
      </c>
      <c r="C330" s="4" t="s">
        <v>35</v>
      </c>
      <c r="D330" s="4" t="n">
        <v>1</v>
      </c>
      <c r="E330" s="6" t="s">
        <v>37</v>
      </c>
      <c r="F330" s="1" t="s">
        <v>23</v>
      </c>
      <c r="G330" s="1" t="n">
        <v>491.3</v>
      </c>
      <c r="H330" s="1" t="n">
        <v>475.2</v>
      </c>
      <c r="I330" s="1" t="n">
        <v>23</v>
      </c>
      <c r="J330" s="1" t="n">
        <v>1</v>
      </c>
      <c r="K330" s="1" t="n">
        <v>0.632166</v>
      </c>
      <c r="L330" s="1" t="n">
        <v>0.01868</v>
      </c>
      <c r="M330" s="1" t="n">
        <v>2.955</v>
      </c>
      <c r="N330" s="1" t="n">
        <v>2.797</v>
      </c>
      <c r="O330" s="1" t="n">
        <v>0.9506</v>
      </c>
      <c r="P330" s="1" t="n">
        <v>0.4702</v>
      </c>
      <c r="Q330" s="1" t="n">
        <v>18.77</v>
      </c>
      <c r="R330" s="1" t="n">
        <v>-0.01573</v>
      </c>
      <c r="S330" s="1" t="n">
        <v>0.5</v>
      </c>
      <c r="T330" s="5" t="n">
        <v>3.129E-007</v>
      </c>
      <c r="U330" s="5" t="n">
        <v>0.0002107</v>
      </c>
      <c r="V330" s="1" t="n">
        <v>5.632</v>
      </c>
    </row>
    <row r="331" customFormat="false" ht="12.8" hidden="false" customHeight="false" outlineLevel="0" collapsed="false">
      <c r="A331" s="1" t="n">
        <v>20</v>
      </c>
      <c r="B331" s="4" t="s">
        <v>34</v>
      </c>
      <c r="C331" s="4" t="s">
        <v>35</v>
      </c>
      <c r="D331" s="4" t="n">
        <v>1</v>
      </c>
      <c r="E331" s="6" t="s">
        <v>37</v>
      </c>
      <c r="F331" s="1" t="s">
        <v>23</v>
      </c>
      <c r="G331" s="1" t="n">
        <v>516.3</v>
      </c>
      <c r="H331" s="1" t="n">
        <v>500.2</v>
      </c>
      <c r="I331" s="1" t="n">
        <v>23</v>
      </c>
      <c r="J331" s="1" t="n">
        <v>1</v>
      </c>
      <c r="K331" s="1" t="n">
        <v>0.794496</v>
      </c>
      <c r="L331" s="1" t="n">
        <v>0.02144</v>
      </c>
      <c r="M331" s="1" t="n">
        <v>2.698</v>
      </c>
      <c r="N331" s="1" t="n">
        <v>2.534</v>
      </c>
      <c r="O331" s="1" t="n">
        <v>0.9266</v>
      </c>
      <c r="P331" s="1" t="n">
        <v>0.4294</v>
      </c>
      <c r="Q331" s="1" t="n">
        <v>20.09</v>
      </c>
      <c r="R331" s="1" t="n">
        <v>-0.01579</v>
      </c>
      <c r="S331" s="1" t="n">
        <v>0.5</v>
      </c>
      <c r="T331" s="5" t="n">
        <v>3.591E-007</v>
      </c>
      <c r="U331" s="5" t="n">
        <v>0.0002648</v>
      </c>
      <c r="V331" s="1" t="n">
        <v>6.743</v>
      </c>
    </row>
    <row r="332" customFormat="false" ht="12.8" hidden="false" customHeight="false" outlineLevel="0" collapsed="false">
      <c r="A332" s="1" t="n">
        <v>21</v>
      </c>
      <c r="B332" s="4" t="s">
        <v>34</v>
      </c>
      <c r="C332" s="4" t="s">
        <v>35</v>
      </c>
      <c r="D332" s="4" t="n">
        <v>1</v>
      </c>
      <c r="E332" s="6" t="s">
        <v>37</v>
      </c>
      <c r="F332" s="1" t="s">
        <v>23</v>
      </c>
      <c r="G332" s="1" t="n">
        <v>541.3</v>
      </c>
      <c r="H332" s="1" t="n">
        <v>525.2</v>
      </c>
      <c r="I332" s="1" t="n">
        <v>23</v>
      </c>
      <c r="J332" s="1" t="n">
        <v>1</v>
      </c>
      <c r="K332" s="1" t="n">
        <v>1.00032</v>
      </c>
      <c r="L332" s="1" t="n">
        <v>0.0246</v>
      </c>
      <c r="M332" s="1" t="n">
        <v>2.46</v>
      </c>
      <c r="N332" s="1" t="n">
        <v>2.286</v>
      </c>
      <c r="O332" s="1" t="n">
        <v>0.9083</v>
      </c>
      <c r="P332" s="1" t="n">
        <v>0.3915</v>
      </c>
      <c r="Q332" s="1" t="n">
        <v>21.67</v>
      </c>
      <c r="R332" s="1" t="n">
        <v>-0.01687</v>
      </c>
      <c r="S332" s="1" t="n">
        <v>0.5</v>
      </c>
      <c r="T332" s="5" t="n">
        <v>4.122E-007</v>
      </c>
      <c r="U332" s="5" t="n">
        <v>0.0003335</v>
      </c>
      <c r="V332" s="1" t="n">
        <v>9.207</v>
      </c>
    </row>
    <row r="333" customFormat="false" ht="12.8" hidden="false" customHeight="false" outlineLevel="0" collapsed="false">
      <c r="A333" s="1" t="n">
        <v>22</v>
      </c>
      <c r="B333" s="4" t="s">
        <v>34</v>
      </c>
      <c r="C333" s="4" t="s">
        <v>35</v>
      </c>
      <c r="D333" s="4" t="n">
        <v>1</v>
      </c>
      <c r="E333" s="6" t="s">
        <v>37</v>
      </c>
      <c r="F333" s="1" t="s">
        <v>23</v>
      </c>
      <c r="G333" s="1" t="n">
        <v>566.3</v>
      </c>
      <c r="H333" s="1" t="n">
        <v>550.3</v>
      </c>
      <c r="I333" s="1" t="n">
        <v>23</v>
      </c>
      <c r="J333" s="1" t="n">
        <v>1</v>
      </c>
      <c r="K333" s="1" t="n">
        <v>1.25962</v>
      </c>
      <c r="L333" s="1" t="n">
        <v>0.02793</v>
      </c>
      <c r="M333" s="1" t="n">
        <v>2.218</v>
      </c>
      <c r="N333" s="1" t="n">
        <v>2.034</v>
      </c>
      <c r="O333" s="1" t="n">
        <v>0.8836</v>
      </c>
      <c r="P333" s="1" t="n">
        <v>0.3529</v>
      </c>
      <c r="Q333" s="1" t="n">
        <v>23.48</v>
      </c>
      <c r="R333" s="1" t="n">
        <v>-0.0154</v>
      </c>
      <c r="S333" s="1" t="n">
        <v>0.5</v>
      </c>
      <c r="T333" s="5" t="n">
        <v>4.679E-007</v>
      </c>
      <c r="U333" s="5" t="n">
        <v>0.0004199</v>
      </c>
      <c r="V333" s="1" t="n">
        <v>10.18</v>
      </c>
    </row>
    <row r="334" customFormat="false" ht="12.8" hidden="false" customHeight="false" outlineLevel="0" collapsed="false">
      <c r="A334" s="1" t="n">
        <v>23</v>
      </c>
      <c r="B334" s="4" t="s">
        <v>34</v>
      </c>
      <c r="C334" s="4" t="s">
        <v>35</v>
      </c>
      <c r="D334" s="4" t="n">
        <v>1</v>
      </c>
      <c r="E334" s="6" t="s">
        <v>37</v>
      </c>
      <c r="F334" s="1" t="s">
        <v>23</v>
      </c>
      <c r="G334" s="1" t="n">
        <v>591.3</v>
      </c>
      <c r="H334" s="1" t="n">
        <v>575.3</v>
      </c>
      <c r="I334" s="1" t="n">
        <v>23</v>
      </c>
      <c r="J334" s="1" t="n">
        <v>1</v>
      </c>
      <c r="K334" s="1" t="n">
        <v>1.58579</v>
      </c>
      <c r="L334" s="1" t="n">
        <v>0.0315</v>
      </c>
      <c r="M334" s="1" t="n">
        <v>1.987</v>
      </c>
      <c r="N334" s="1" t="n">
        <v>1.793</v>
      </c>
      <c r="O334" s="1" t="n">
        <v>0.8556</v>
      </c>
      <c r="P334" s="1" t="n">
        <v>0.3162</v>
      </c>
      <c r="Q334" s="1" t="n">
        <v>25.51</v>
      </c>
      <c r="R334" s="1" t="n">
        <v>-0.01709</v>
      </c>
      <c r="S334" s="1" t="n">
        <v>0.5</v>
      </c>
      <c r="T334" s="5" t="n">
        <v>5.278E-007</v>
      </c>
      <c r="U334" s="5" t="n">
        <v>0.0005286</v>
      </c>
      <c r="V334" s="1" t="n">
        <v>13.73</v>
      </c>
    </row>
    <row r="335" customFormat="false" ht="12.8" hidden="false" customHeight="false" outlineLevel="0" collapsed="false">
      <c r="A335" s="1" t="n">
        <v>24</v>
      </c>
      <c r="B335" s="4" t="s">
        <v>34</v>
      </c>
      <c r="C335" s="4" t="s">
        <v>35</v>
      </c>
      <c r="D335" s="4" t="n">
        <v>1</v>
      </c>
      <c r="E335" s="6" t="s">
        <v>37</v>
      </c>
      <c r="F335" s="1" t="s">
        <v>23</v>
      </c>
      <c r="G335" s="1" t="n">
        <v>616.4</v>
      </c>
      <c r="H335" s="1" t="n">
        <v>600.3</v>
      </c>
      <c r="I335" s="1" t="n">
        <v>23</v>
      </c>
      <c r="J335" s="1" t="n">
        <v>1</v>
      </c>
      <c r="K335" s="1" t="n">
        <v>1.99542</v>
      </c>
      <c r="L335" s="1" t="n">
        <v>0.03505</v>
      </c>
      <c r="M335" s="1" t="n">
        <v>1.756</v>
      </c>
      <c r="N335" s="1" t="n">
        <v>1.55</v>
      </c>
      <c r="O335" s="1" t="n">
        <v>0.8271</v>
      </c>
      <c r="P335" s="1" t="n">
        <v>0.2795</v>
      </c>
      <c r="Q335" s="1" t="n">
        <v>28.09</v>
      </c>
      <c r="R335" s="1" t="n">
        <v>-0.01677</v>
      </c>
      <c r="S335" s="1" t="n">
        <v>0.5</v>
      </c>
      <c r="T335" s="5" t="n">
        <v>5.871E-007</v>
      </c>
      <c r="U335" s="5" t="n">
        <v>0.0006652</v>
      </c>
      <c r="V335" s="1" t="n">
        <v>18.35</v>
      </c>
    </row>
    <row r="336" customFormat="false" ht="12.8" hidden="false" customHeight="false" outlineLevel="0" collapsed="false">
      <c r="A336" s="1" t="n">
        <v>25</v>
      </c>
      <c r="B336" s="4" t="s">
        <v>34</v>
      </c>
      <c r="C336" s="4" t="s">
        <v>35</v>
      </c>
      <c r="D336" s="4" t="n">
        <v>1</v>
      </c>
      <c r="E336" s="6" t="s">
        <v>37</v>
      </c>
      <c r="F336" s="1" t="s">
        <v>23</v>
      </c>
      <c r="G336" s="1" t="n">
        <v>641.4</v>
      </c>
      <c r="H336" s="1" t="n">
        <v>625.3</v>
      </c>
      <c r="I336" s="1" t="n">
        <v>23</v>
      </c>
      <c r="J336" s="1" t="n">
        <v>1</v>
      </c>
      <c r="K336" s="1" t="n">
        <v>2.51206</v>
      </c>
      <c r="L336" s="1" t="n">
        <v>0.03858</v>
      </c>
      <c r="M336" s="1" t="n">
        <v>1.536</v>
      </c>
      <c r="N336" s="1" t="n">
        <v>1.317</v>
      </c>
      <c r="O336" s="1" t="n">
        <v>0.7904</v>
      </c>
      <c r="P336" s="1" t="n">
        <v>0.2444</v>
      </c>
      <c r="Q336" s="1" t="n">
        <v>30.97</v>
      </c>
      <c r="R336" s="1" t="n">
        <v>-0.01689</v>
      </c>
      <c r="S336" s="1" t="n">
        <v>0.5</v>
      </c>
      <c r="T336" s="5" t="n">
        <v>6.463E-007</v>
      </c>
      <c r="U336" s="5" t="n">
        <v>0.0008374</v>
      </c>
      <c r="V336" s="1" t="n">
        <v>21.83</v>
      </c>
    </row>
    <row r="337" customFormat="false" ht="12.8" hidden="false" customHeight="false" outlineLevel="0" collapsed="false">
      <c r="A337" s="1" t="n">
        <v>26</v>
      </c>
      <c r="B337" s="4" t="s">
        <v>34</v>
      </c>
      <c r="C337" s="4" t="s">
        <v>35</v>
      </c>
      <c r="D337" s="4" t="n">
        <v>1</v>
      </c>
      <c r="E337" s="6" t="s">
        <v>37</v>
      </c>
      <c r="F337" s="1" t="s">
        <v>23</v>
      </c>
      <c r="G337" s="1" t="n">
        <v>666.4</v>
      </c>
      <c r="H337" s="1" t="n">
        <v>650.3</v>
      </c>
      <c r="I337" s="1" t="n">
        <v>23</v>
      </c>
      <c r="J337" s="1" t="n">
        <v>1</v>
      </c>
      <c r="K337" s="1" t="n">
        <v>3.16341</v>
      </c>
      <c r="L337" s="1" t="n">
        <v>0.04167</v>
      </c>
      <c r="M337" s="1" t="n">
        <v>1.317</v>
      </c>
      <c r="N337" s="1" t="n">
        <v>1.088</v>
      </c>
      <c r="O337" s="1" t="n">
        <v>0.7428</v>
      </c>
      <c r="P337" s="1" t="n">
        <v>0.2097</v>
      </c>
      <c r="Q337" s="1" t="n">
        <v>34.32</v>
      </c>
      <c r="R337" s="1" t="n">
        <v>-0.01627</v>
      </c>
      <c r="S337" s="1" t="n">
        <v>0.5</v>
      </c>
      <c r="T337" s="5" t="n">
        <v>6.981E-007</v>
      </c>
      <c r="U337" s="5" t="n">
        <v>0.001055</v>
      </c>
      <c r="V337" s="1" t="n">
        <v>21.95</v>
      </c>
    </row>
    <row r="338" customFormat="false" ht="12.8" hidden="false" customHeight="false" outlineLevel="0" collapsed="false">
      <c r="A338" s="1" t="n">
        <v>27</v>
      </c>
      <c r="B338" s="4" t="s">
        <v>34</v>
      </c>
      <c r="C338" s="4" t="s">
        <v>35</v>
      </c>
      <c r="D338" s="4" t="n">
        <v>1</v>
      </c>
      <c r="E338" s="6" t="s">
        <v>37</v>
      </c>
      <c r="F338" s="1" t="s">
        <v>23</v>
      </c>
      <c r="G338" s="1" t="n">
        <v>691.4</v>
      </c>
      <c r="H338" s="1" t="n">
        <v>675.3</v>
      </c>
      <c r="I338" s="1" t="n">
        <v>23</v>
      </c>
      <c r="J338" s="1" t="n">
        <v>1</v>
      </c>
      <c r="K338" s="1" t="n">
        <v>3.984</v>
      </c>
      <c r="L338" s="1" t="n">
        <v>0.04214</v>
      </c>
      <c r="M338" s="1" t="n">
        <v>1.058</v>
      </c>
      <c r="N338" s="1" t="n">
        <v>0.8106</v>
      </c>
      <c r="O338" s="1" t="n">
        <v>0.6793</v>
      </c>
      <c r="P338" s="1" t="n">
        <v>0.1683</v>
      </c>
      <c r="Q338" s="1" t="n">
        <v>39.97</v>
      </c>
      <c r="R338" s="1" t="n">
        <v>-0.01744</v>
      </c>
      <c r="S338" s="1" t="n">
        <v>0.5</v>
      </c>
      <c r="T338" s="5" t="n">
        <v>7.059E-007</v>
      </c>
      <c r="U338" s="5" t="n">
        <v>0.001328</v>
      </c>
      <c r="V338" s="1" t="n">
        <v>19.64</v>
      </c>
    </row>
    <row r="339" customFormat="false" ht="12.8" hidden="false" customHeight="false" outlineLevel="0" collapsed="false">
      <c r="A339" s="1" t="n">
        <v>28</v>
      </c>
      <c r="B339" s="4" t="s">
        <v>34</v>
      </c>
      <c r="C339" s="4" t="s">
        <v>35</v>
      </c>
      <c r="D339" s="4" t="n">
        <v>1</v>
      </c>
      <c r="E339" s="6" t="s">
        <v>37</v>
      </c>
      <c r="F339" s="1" t="s">
        <v>23</v>
      </c>
      <c r="G339" s="1" t="n">
        <v>716.4</v>
      </c>
      <c r="H339" s="1" t="n">
        <v>700.3</v>
      </c>
      <c r="I339" s="1" t="n">
        <v>23</v>
      </c>
      <c r="J339" s="1" t="n">
        <v>1</v>
      </c>
      <c r="K339" s="1" t="n">
        <v>5.01475</v>
      </c>
      <c r="L339" s="1" t="n">
        <v>0.04186</v>
      </c>
      <c r="M339" s="1" t="n">
        <v>0.8348</v>
      </c>
      <c r="N339" s="1" t="n">
        <v>0.5778</v>
      </c>
      <c r="O339" s="1" t="n">
        <v>0.6026</v>
      </c>
      <c r="P339" s="1" t="n">
        <v>0.1329</v>
      </c>
      <c r="Q339" s="1" t="n">
        <v>46.2</v>
      </c>
      <c r="R339" s="1" t="n">
        <v>-0.01713</v>
      </c>
      <c r="S339" s="1" t="n">
        <v>0.5</v>
      </c>
      <c r="T339" s="5" t="n">
        <v>7.013E-007</v>
      </c>
      <c r="U339" s="5" t="n">
        <v>0.001672</v>
      </c>
      <c r="V339" s="1" t="n">
        <v>17.88</v>
      </c>
    </row>
    <row r="340" customFormat="false" ht="12.8" hidden="false" customHeight="false" outlineLevel="0" collapsed="false">
      <c r="A340" s="1" t="n">
        <v>29</v>
      </c>
      <c r="B340" s="4" t="s">
        <v>34</v>
      </c>
      <c r="C340" s="4" t="s">
        <v>35</v>
      </c>
      <c r="D340" s="4" t="n">
        <v>1</v>
      </c>
      <c r="E340" s="6" t="s">
        <v>37</v>
      </c>
      <c r="F340" s="1" t="s">
        <v>23</v>
      </c>
      <c r="G340" s="1" t="n">
        <v>741.4</v>
      </c>
      <c r="H340" s="1" t="n">
        <v>725.3</v>
      </c>
      <c r="I340" s="1" t="n">
        <v>23</v>
      </c>
      <c r="J340" s="1" t="n">
        <v>1</v>
      </c>
      <c r="K340" s="1" t="n">
        <v>6.30083</v>
      </c>
      <c r="L340" s="1" t="n">
        <v>0.04269</v>
      </c>
      <c r="M340" s="1" t="n">
        <v>0.6776</v>
      </c>
      <c r="N340" s="1" t="n">
        <v>0.4359</v>
      </c>
      <c r="O340" s="1" t="n">
        <v>0.5187</v>
      </c>
      <c r="P340" s="1" t="n">
        <v>0.1078</v>
      </c>
      <c r="Q340" s="1" t="n">
        <v>49.96</v>
      </c>
      <c r="R340" s="1" t="n">
        <v>-0.01774</v>
      </c>
      <c r="S340" s="1" t="n">
        <v>0.5</v>
      </c>
      <c r="T340" s="5" t="n">
        <v>7.152E-007</v>
      </c>
      <c r="U340" s="5" t="n">
        <v>0.0021</v>
      </c>
      <c r="V340" s="1" t="n">
        <v>15.19</v>
      </c>
    </row>
    <row r="341" customFormat="false" ht="12.8" hidden="false" customHeight="false" outlineLevel="0" collapsed="false">
      <c r="A341" s="1" t="n">
        <v>30</v>
      </c>
      <c r="B341" s="4" t="s">
        <v>34</v>
      </c>
      <c r="C341" s="4" t="s">
        <v>35</v>
      </c>
      <c r="D341" s="4" t="n">
        <v>1</v>
      </c>
      <c r="E341" s="6" t="s">
        <v>37</v>
      </c>
      <c r="F341" s="1" t="s">
        <v>23</v>
      </c>
      <c r="G341" s="1" t="n">
        <v>766.4</v>
      </c>
      <c r="H341" s="1" t="n">
        <v>750.3</v>
      </c>
      <c r="I341" s="1" t="n">
        <v>23</v>
      </c>
      <c r="J341" s="1" t="n">
        <v>1</v>
      </c>
      <c r="K341" s="1" t="n">
        <v>7.9478</v>
      </c>
      <c r="L341" s="1" t="n">
        <v>0.04287</v>
      </c>
      <c r="M341" s="1" t="n">
        <v>0.5394</v>
      </c>
      <c r="N341" s="1" t="n">
        <v>0.3149</v>
      </c>
      <c r="O341" s="1" t="n">
        <v>0.438</v>
      </c>
      <c r="P341" s="1" t="n">
        <v>0.08585</v>
      </c>
      <c r="Q341" s="1" t="n">
        <v>54.28</v>
      </c>
      <c r="R341" s="1" t="n">
        <v>-0.01645</v>
      </c>
      <c r="S341" s="1" t="n">
        <v>0.5</v>
      </c>
      <c r="T341" s="5" t="n">
        <v>7.182E-007</v>
      </c>
      <c r="U341" s="5" t="n">
        <v>0.002649</v>
      </c>
      <c r="V341" s="1" t="n">
        <v>13.99</v>
      </c>
    </row>
    <row r="342" customFormat="false" ht="12.8" hidden="false" customHeight="false" outlineLevel="0" collapsed="false">
      <c r="A342" s="1" t="n">
        <v>31</v>
      </c>
      <c r="B342" s="4" t="s">
        <v>34</v>
      </c>
      <c r="C342" s="4" t="s">
        <v>35</v>
      </c>
      <c r="D342" s="4" t="n">
        <v>1</v>
      </c>
      <c r="E342" s="6" t="s">
        <v>37</v>
      </c>
      <c r="F342" s="1" t="s">
        <v>23</v>
      </c>
      <c r="G342" s="1" t="n">
        <v>791.4</v>
      </c>
      <c r="H342" s="1" t="n">
        <v>775.3</v>
      </c>
      <c r="I342" s="1" t="n">
        <v>23</v>
      </c>
      <c r="J342" s="1" t="n">
        <v>1</v>
      </c>
      <c r="K342" s="1" t="n">
        <v>9.99747</v>
      </c>
      <c r="L342" s="1" t="n">
        <v>0.04428</v>
      </c>
      <c r="M342" s="1" t="n">
        <v>0.4429</v>
      </c>
      <c r="N342" s="1" t="n">
        <v>0.2323</v>
      </c>
      <c r="O342" s="1" t="n">
        <v>0.3772</v>
      </c>
      <c r="P342" s="1" t="n">
        <v>0.0705</v>
      </c>
      <c r="Q342" s="1" t="n">
        <v>58.38</v>
      </c>
      <c r="R342" s="1" t="n">
        <v>-0.01837</v>
      </c>
      <c r="S342" s="1" t="n">
        <v>0.5</v>
      </c>
      <c r="T342" s="5" t="n">
        <v>7.419E-007</v>
      </c>
      <c r="U342" s="5" t="n">
        <v>0.003333</v>
      </c>
      <c r="V342" s="1" t="n">
        <v>10.94</v>
      </c>
    </row>
    <row r="343" customFormat="false" ht="12.8" hidden="false" customHeight="false" outlineLevel="0" collapsed="false">
      <c r="A343" s="1" t="n">
        <v>1</v>
      </c>
      <c r="B343" s="4" t="s">
        <v>34</v>
      </c>
      <c r="C343" s="4" t="s">
        <v>35</v>
      </c>
      <c r="D343" s="4" t="n">
        <v>2</v>
      </c>
      <c r="E343" s="6" t="s">
        <v>38</v>
      </c>
      <c r="F343" s="1" t="s">
        <v>23</v>
      </c>
      <c r="G343" s="1" t="n">
        <v>38.79</v>
      </c>
      <c r="H343" s="1" t="n">
        <v>25</v>
      </c>
      <c r="I343" s="1" t="n">
        <v>23.05</v>
      </c>
      <c r="J343" s="1" t="n">
        <v>1</v>
      </c>
      <c r="K343" s="5" t="n">
        <v>0.0095984</v>
      </c>
      <c r="L343" s="5" t="n">
        <v>0.00113</v>
      </c>
      <c r="M343" s="1" t="n">
        <v>11.77</v>
      </c>
      <c r="N343" s="1" t="n">
        <v>11.51</v>
      </c>
      <c r="O343" s="1" t="n">
        <v>2.464</v>
      </c>
      <c r="P343" s="1" t="n">
        <v>1.873</v>
      </c>
      <c r="Q343" s="1" t="n">
        <v>12.08</v>
      </c>
      <c r="R343" s="5" t="n">
        <v>-0.007139</v>
      </c>
      <c r="S343" s="1" t="n">
        <v>0.5</v>
      </c>
      <c r="T343" s="5" t="n">
        <v>1.892E-008</v>
      </c>
      <c r="U343" s="5" t="n">
        <v>3.2E-006</v>
      </c>
      <c r="V343" s="1" t="n">
        <v>4.796</v>
      </c>
    </row>
    <row r="344" customFormat="false" ht="12.8" hidden="false" customHeight="false" outlineLevel="0" collapsed="false">
      <c r="A344" s="1" t="n">
        <v>2</v>
      </c>
      <c r="B344" s="4" t="s">
        <v>34</v>
      </c>
      <c r="C344" s="4" t="s">
        <v>35</v>
      </c>
      <c r="D344" s="4" t="n">
        <v>2</v>
      </c>
      <c r="E344" s="6" t="s">
        <v>38</v>
      </c>
      <c r="F344" s="1" t="s">
        <v>23</v>
      </c>
      <c r="G344" s="1" t="n">
        <v>63.81</v>
      </c>
      <c r="H344" s="1" t="n">
        <v>50.02</v>
      </c>
      <c r="I344" s="1" t="n">
        <v>23.03</v>
      </c>
      <c r="J344" s="1" t="n">
        <v>1</v>
      </c>
      <c r="K344" s="1" t="n">
        <v>0.0127997</v>
      </c>
      <c r="L344" s="5" t="n">
        <v>0.001546</v>
      </c>
      <c r="M344" s="1" t="n">
        <v>12.08</v>
      </c>
      <c r="N344" s="1" t="n">
        <v>11.81</v>
      </c>
      <c r="O344" s="1" t="n">
        <v>2.537</v>
      </c>
      <c r="P344" s="1" t="n">
        <v>1.922</v>
      </c>
      <c r="Q344" s="1" t="n">
        <v>12.13</v>
      </c>
      <c r="R344" s="5" t="n">
        <v>-0.00809</v>
      </c>
      <c r="S344" s="1" t="n">
        <v>0.5</v>
      </c>
      <c r="T344" s="5" t="n">
        <v>2.589E-008</v>
      </c>
      <c r="U344" s="5" t="n">
        <v>4.267E-006</v>
      </c>
      <c r="V344" s="1" t="n">
        <v>5.784</v>
      </c>
    </row>
    <row r="345" customFormat="false" ht="12.8" hidden="false" customHeight="false" outlineLevel="0" collapsed="false">
      <c r="A345" s="1" t="n">
        <v>3</v>
      </c>
      <c r="B345" s="4" t="s">
        <v>34</v>
      </c>
      <c r="C345" s="4" t="s">
        <v>35</v>
      </c>
      <c r="D345" s="4" t="n">
        <v>2</v>
      </c>
      <c r="E345" s="6" t="s">
        <v>38</v>
      </c>
      <c r="F345" s="1" t="s">
        <v>23</v>
      </c>
      <c r="G345" s="1" t="n">
        <v>88.81</v>
      </c>
      <c r="H345" s="1" t="n">
        <v>75.02</v>
      </c>
      <c r="I345" s="1" t="n">
        <v>23.03</v>
      </c>
      <c r="J345" s="1" t="n">
        <v>1</v>
      </c>
      <c r="K345" s="1" t="n">
        <v>0.015982</v>
      </c>
      <c r="L345" s="5" t="n">
        <v>0.001916</v>
      </c>
      <c r="M345" s="1" t="n">
        <v>11.99</v>
      </c>
      <c r="N345" s="1" t="n">
        <v>11.78</v>
      </c>
      <c r="O345" s="1" t="n">
        <v>2.224</v>
      </c>
      <c r="P345" s="1" t="n">
        <v>1.908</v>
      </c>
      <c r="Q345" s="1" t="n">
        <v>10.69</v>
      </c>
      <c r="R345" s="5" t="n">
        <v>-0.007728</v>
      </c>
      <c r="S345" s="1" t="n">
        <v>0.5</v>
      </c>
      <c r="T345" s="5" t="n">
        <v>3.21E-008</v>
      </c>
      <c r="U345" s="5" t="n">
        <v>5.328E-006</v>
      </c>
      <c r="V345" s="1" t="n">
        <v>4.045</v>
      </c>
    </row>
    <row r="346" customFormat="false" ht="12.8" hidden="false" customHeight="false" outlineLevel="0" collapsed="false">
      <c r="A346" s="1" t="n">
        <v>4</v>
      </c>
      <c r="B346" s="4" t="s">
        <v>34</v>
      </c>
      <c r="C346" s="4" t="s">
        <v>35</v>
      </c>
      <c r="D346" s="4" t="n">
        <v>2</v>
      </c>
      <c r="E346" s="6" t="s">
        <v>38</v>
      </c>
      <c r="F346" s="1" t="s">
        <v>23</v>
      </c>
      <c r="G346" s="1" t="n">
        <v>113.8</v>
      </c>
      <c r="H346" s="1" t="n">
        <v>100</v>
      </c>
      <c r="I346" s="1" t="n">
        <v>23.02</v>
      </c>
      <c r="J346" s="1" t="n">
        <v>1</v>
      </c>
      <c r="K346" s="1" t="n">
        <v>0.0186258</v>
      </c>
      <c r="L346" s="5" t="n">
        <v>0.002237</v>
      </c>
      <c r="M346" s="1" t="n">
        <v>12.01</v>
      </c>
      <c r="N346" s="1" t="n">
        <v>11.8</v>
      </c>
      <c r="O346" s="1" t="n">
        <v>2.264</v>
      </c>
      <c r="P346" s="1" t="n">
        <v>1.912</v>
      </c>
      <c r="Q346" s="1" t="n">
        <v>10.86</v>
      </c>
      <c r="R346" s="5" t="n">
        <v>-0.007659</v>
      </c>
      <c r="S346" s="1" t="n">
        <v>0.5</v>
      </c>
      <c r="T346" s="5" t="n">
        <v>3.748E-008</v>
      </c>
      <c r="U346" s="5" t="n">
        <v>6.209E-006</v>
      </c>
      <c r="V346" s="1" t="n">
        <v>3.024</v>
      </c>
    </row>
    <row r="347" customFormat="false" ht="12.8" hidden="false" customHeight="false" outlineLevel="0" collapsed="false">
      <c r="A347" s="1" t="n">
        <v>5</v>
      </c>
      <c r="B347" s="4" t="s">
        <v>34</v>
      </c>
      <c r="C347" s="4" t="s">
        <v>35</v>
      </c>
      <c r="D347" s="4" t="n">
        <v>2</v>
      </c>
      <c r="E347" s="6" t="s">
        <v>38</v>
      </c>
      <c r="F347" s="1" t="s">
        <v>23</v>
      </c>
      <c r="G347" s="1" t="n">
        <v>138.8</v>
      </c>
      <c r="H347" s="1" t="n">
        <v>125.1</v>
      </c>
      <c r="I347" s="1" t="n">
        <v>23.01</v>
      </c>
      <c r="J347" s="1" t="n">
        <v>1</v>
      </c>
      <c r="K347" s="1" t="n">
        <v>0.0257781</v>
      </c>
      <c r="L347" s="5" t="n">
        <v>0.003014</v>
      </c>
      <c r="M347" s="1" t="n">
        <v>11.69</v>
      </c>
      <c r="N347" s="1" t="n">
        <v>11.46</v>
      </c>
      <c r="O347" s="1" t="n">
        <v>2.328</v>
      </c>
      <c r="P347" s="1" t="n">
        <v>1.861</v>
      </c>
      <c r="Q347" s="1" t="n">
        <v>11.49</v>
      </c>
      <c r="R347" s="5" t="n">
        <v>-0.007767</v>
      </c>
      <c r="S347" s="1" t="n">
        <v>0.5</v>
      </c>
      <c r="T347" s="5" t="n">
        <v>5.049E-008</v>
      </c>
      <c r="U347" s="5" t="n">
        <v>8.593E-006</v>
      </c>
      <c r="V347" s="1" t="n">
        <v>2.014</v>
      </c>
    </row>
    <row r="348" customFormat="false" ht="12.8" hidden="false" customHeight="false" outlineLevel="0" collapsed="false">
      <c r="A348" s="1" t="n">
        <v>6</v>
      </c>
      <c r="B348" s="4" t="s">
        <v>34</v>
      </c>
      <c r="C348" s="4" t="s">
        <v>35</v>
      </c>
      <c r="D348" s="4" t="n">
        <v>2</v>
      </c>
      <c r="E348" s="6" t="s">
        <v>38</v>
      </c>
      <c r="F348" s="1" t="s">
        <v>23</v>
      </c>
      <c r="G348" s="1" t="n">
        <v>163.9</v>
      </c>
      <c r="H348" s="1" t="n">
        <v>150.1</v>
      </c>
      <c r="I348" s="1" t="n">
        <v>23.01</v>
      </c>
      <c r="J348" s="1" t="n">
        <v>1</v>
      </c>
      <c r="K348" s="1" t="n">
        <v>0.0312974</v>
      </c>
      <c r="L348" s="5" t="n">
        <v>0.003571</v>
      </c>
      <c r="M348" s="1" t="n">
        <v>11.41</v>
      </c>
      <c r="N348" s="1" t="n">
        <v>11.21</v>
      </c>
      <c r="O348" s="1" t="n">
        <v>2.143</v>
      </c>
      <c r="P348" s="1" t="n">
        <v>1.816</v>
      </c>
      <c r="Q348" s="1" t="n">
        <v>10.83</v>
      </c>
      <c r="R348" s="5" t="n">
        <v>-0.008306</v>
      </c>
      <c r="S348" s="1" t="n">
        <v>0.5</v>
      </c>
      <c r="T348" s="5" t="n">
        <v>5.983E-008</v>
      </c>
      <c r="U348" s="5" t="n">
        <v>1.043E-005</v>
      </c>
      <c r="V348" s="1" t="n">
        <v>5.734</v>
      </c>
    </row>
    <row r="349" customFormat="false" ht="12.8" hidden="false" customHeight="false" outlineLevel="0" collapsed="false">
      <c r="A349" s="1" t="n">
        <v>7</v>
      </c>
      <c r="B349" s="4" t="s">
        <v>34</v>
      </c>
      <c r="C349" s="4" t="s">
        <v>35</v>
      </c>
      <c r="D349" s="4" t="n">
        <v>2</v>
      </c>
      <c r="E349" s="6" t="s">
        <v>38</v>
      </c>
      <c r="F349" s="1" t="s">
        <v>23</v>
      </c>
      <c r="G349" s="1" t="n">
        <v>188.9</v>
      </c>
      <c r="H349" s="1" t="n">
        <v>175.1</v>
      </c>
      <c r="I349" s="1" t="n">
        <v>23.01</v>
      </c>
      <c r="J349" s="1" t="n">
        <v>1</v>
      </c>
      <c r="K349" s="1" t="n">
        <v>0.0389863</v>
      </c>
      <c r="L349" s="5" t="n">
        <v>0.004398</v>
      </c>
      <c r="M349" s="1" t="n">
        <v>11.28</v>
      </c>
      <c r="N349" s="1" t="n">
        <v>11.06</v>
      </c>
      <c r="O349" s="1" t="n">
        <v>2.209</v>
      </c>
      <c r="P349" s="1" t="n">
        <v>1.796</v>
      </c>
      <c r="Q349" s="1" t="n">
        <v>11.29</v>
      </c>
      <c r="R349" s="5" t="n">
        <v>-0.007306</v>
      </c>
      <c r="S349" s="1" t="n">
        <v>0.5</v>
      </c>
      <c r="T349" s="5" t="n">
        <v>7.368E-008</v>
      </c>
      <c r="U349" s="5" t="n">
        <v>1.3E-005</v>
      </c>
      <c r="V349" s="1" t="n">
        <v>1.578</v>
      </c>
    </row>
    <row r="350" customFormat="false" ht="12.8" hidden="false" customHeight="false" outlineLevel="0" collapsed="false">
      <c r="A350" s="1" t="n">
        <v>8</v>
      </c>
      <c r="B350" s="4" t="s">
        <v>34</v>
      </c>
      <c r="C350" s="4" t="s">
        <v>35</v>
      </c>
      <c r="D350" s="4" t="n">
        <v>2</v>
      </c>
      <c r="E350" s="6" t="s">
        <v>38</v>
      </c>
      <c r="F350" s="1" t="s">
        <v>23</v>
      </c>
      <c r="G350" s="1" t="n">
        <v>213.9</v>
      </c>
      <c r="H350" s="1" t="n">
        <v>200.1</v>
      </c>
      <c r="I350" s="1" t="n">
        <v>23.01</v>
      </c>
      <c r="J350" s="1" t="n">
        <v>1</v>
      </c>
      <c r="K350" s="1" t="n">
        <v>0.0505905</v>
      </c>
      <c r="L350" s="5" t="n">
        <v>0.00536</v>
      </c>
      <c r="M350" s="1" t="n">
        <v>10.59</v>
      </c>
      <c r="N350" s="1" t="n">
        <v>10.37</v>
      </c>
      <c r="O350" s="1" t="n">
        <v>2.153</v>
      </c>
      <c r="P350" s="1" t="n">
        <v>1.686</v>
      </c>
      <c r="Q350" s="1" t="n">
        <v>11.72</v>
      </c>
      <c r="R350" s="5" t="n">
        <v>-0.008522</v>
      </c>
      <c r="S350" s="1" t="n">
        <v>0.5</v>
      </c>
      <c r="T350" s="5" t="n">
        <v>8.979E-008</v>
      </c>
      <c r="U350" s="5" t="n">
        <v>1.686E-005</v>
      </c>
      <c r="V350" s="1" t="n">
        <v>2.457</v>
      </c>
    </row>
    <row r="351" customFormat="false" ht="12.8" hidden="false" customHeight="false" outlineLevel="0" collapsed="false">
      <c r="A351" s="1" t="n">
        <v>9</v>
      </c>
      <c r="B351" s="4" t="s">
        <v>34</v>
      </c>
      <c r="C351" s="4" t="s">
        <v>35</v>
      </c>
      <c r="D351" s="4" t="n">
        <v>2</v>
      </c>
      <c r="E351" s="6" t="s">
        <v>38</v>
      </c>
      <c r="F351" s="1" t="s">
        <v>23</v>
      </c>
      <c r="G351" s="1" t="n">
        <v>238.9</v>
      </c>
      <c r="H351" s="1" t="n">
        <v>225.1</v>
      </c>
      <c r="I351" s="1" t="n">
        <v>23.01</v>
      </c>
      <c r="J351" s="1" t="n">
        <v>1</v>
      </c>
      <c r="K351" s="1" t="n">
        <v>0.0632051</v>
      </c>
      <c r="L351" s="5" t="n">
        <v>0.006718</v>
      </c>
      <c r="M351" s="1" t="n">
        <v>10.63</v>
      </c>
      <c r="N351" s="1" t="n">
        <v>10.36</v>
      </c>
      <c r="O351" s="1" t="n">
        <v>2.355</v>
      </c>
      <c r="P351" s="1" t="n">
        <v>1.692</v>
      </c>
      <c r="Q351" s="1" t="n">
        <v>12.8</v>
      </c>
      <c r="R351" s="5" t="n">
        <v>-0.007816</v>
      </c>
      <c r="S351" s="1" t="n">
        <v>0.5</v>
      </c>
      <c r="T351" s="5" t="n">
        <v>1.125E-007</v>
      </c>
      <c r="U351" s="5" t="n">
        <v>2.107E-005</v>
      </c>
      <c r="V351" s="1" t="n">
        <v>5.998</v>
      </c>
    </row>
    <row r="352" customFormat="false" ht="12.8" hidden="false" customHeight="false" outlineLevel="0" collapsed="false">
      <c r="A352" s="1" t="n">
        <v>10</v>
      </c>
      <c r="B352" s="4" t="s">
        <v>34</v>
      </c>
      <c r="C352" s="4" t="s">
        <v>35</v>
      </c>
      <c r="D352" s="4" t="n">
        <v>2</v>
      </c>
      <c r="E352" s="6" t="s">
        <v>38</v>
      </c>
      <c r="F352" s="1" t="s">
        <v>23</v>
      </c>
      <c r="G352" s="1" t="n">
        <v>263.9</v>
      </c>
      <c r="H352" s="1" t="n">
        <v>250.1</v>
      </c>
      <c r="I352" s="1" t="n">
        <v>23</v>
      </c>
      <c r="J352" s="1" t="n">
        <v>1</v>
      </c>
      <c r="K352" s="1" t="n">
        <v>0.0783501</v>
      </c>
      <c r="L352" s="5" t="n">
        <v>0.008119</v>
      </c>
      <c r="M352" s="1" t="n">
        <v>10.36</v>
      </c>
      <c r="N352" s="1" t="n">
        <v>10.08</v>
      </c>
      <c r="O352" s="1" t="n">
        <v>2.419</v>
      </c>
      <c r="P352" s="1" t="n">
        <v>1.649</v>
      </c>
      <c r="Q352" s="1" t="n">
        <v>13.5</v>
      </c>
      <c r="R352" s="5" t="n">
        <v>-0.007737</v>
      </c>
      <c r="S352" s="1" t="n">
        <v>0.5</v>
      </c>
      <c r="T352" s="5" t="n">
        <v>1.36E-007</v>
      </c>
      <c r="U352" s="5" t="n">
        <v>2.612E-005</v>
      </c>
      <c r="V352" s="1" t="n">
        <v>5.296</v>
      </c>
    </row>
    <row r="353" customFormat="false" ht="12.8" hidden="false" customHeight="false" outlineLevel="0" collapsed="false">
      <c r="A353" s="1" t="n">
        <v>11</v>
      </c>
      <c r="B353" s="4" t="s">
        <v>34</v>
      </c>
      <c r="C353" s="4" t="s">
        <v>35</v>
      </c>
      <c r="D353" s="4" t="n">
        <v>2</v>
      </c>
      <c r="E353" s="6" t="s">
        <v>38</v>
      </c>
      <c r="F353" s="1" t="s">
        <v>23</v>
      </c>
      <c r="G353" s="1" t="n">
        <v>288.9</v>
      </c>
      <c r="H353" s="1" t="n">
        <v>275.1</v>
      </c>
      <c r="I353" s="1" t="n">
        <v>23</v>
      </c>
      <c r="J353" s="1" t="n">
        <v>1</v>
      </c>
      <c r="K353" s="1" t="n">
        <v>0.100538</v>
      </c>
      <c r="L353" s="1" t="n">
        <v>0.01017</v>
      </c>
      <c r="M353" s="1" t="n">
        <v>10.11</v>
      </c>
      <c r="N353" s="1" t="n">
        <v>9.829</v>
      </c>
      <c r="O353" s="1" t="n">
        <v>2.378</v>
      </c>
      <c r="P353" s="1" t="n">
        <v>1.609</v>
      </c>
      <c r="Q353" s="1" t="n">
        <v>13.6</v>
      </c>
      <c r="R353" s="5" t="n">
        <v>-0.007669</v>
      </c>
      <c r="S353" s="1" t="n">
        <v>0.5</v>
      </c>
      <c r="T353" s="5" t="n">
        <v>1.703E-007</v>
      </c>
      <c r="U353" s="5" t="n">
        <v>3.351E-005</v>
      </c>
      <c r="V353" s="1" t="n">
        <v>4.717</v>
      </c>
    </row>
    <row r="354" customFormat="false" ht="12.8" hidden="false" customHeight="false" outlineLevel="0" collapsed="false">
      <c r="A354" s="1" t="n">
        <v>12</v>
      </c>
      <c r="B354" s="4" t="s">
        <v>34</v>
      </c>
      <c r="C354" s="4" t="s">
        <v>35</v>
      </c>
      <c r="D354" s="4" t="n">
        <v>2</v>
      </c>
      <c r="E354" s="6" t="s">
        <v>38</v>
      </c>
      <c r="F354" s="1" t="s">
        <v>23</v>
      </c>
      <c r="G354" s="1" t="n">
        <v>313.9</v>
      </c>
      <c r="H354" s="1" t="n">
        <v>300.1</v>
      </c>
      <c r="I354" s="1" t="n">
        <v>23</v>
      </c>
      <c r="J354" s="1" t="n">
        <v>1</v>
      </c>
      <c r="K354" s="1" t="n">
        <v>0.126528</v>
      </c>
      <c r="L354" s="1" t="n">
        <v>0.01236</v>
      </c>
      <c r="M354" s="1" t="n">
        <v>9.765</v>
      </c>
      <c r="N354" s="1" t="n">
        <v>9.465</v>
      </c>
      <c r="O354" s="1" t="n">
        <v>2.403</v>
      </c>
      <c r="P354" s="1" t="n">
        <v>1.554</v>
      </c>
      <c r="Q354" s="1" t="n">
        <v>14.25</v>
      </c>
      <c r="R354" s="5" t="n">
        <v>-0.007492</v>
      </c>
      <c r="S354" s="1" t="n">
        <v>0.5</v>
      </c>
      <c r="T354" s="5" t="n">
        <v>2.07E-007</v>
      </c>
      <c r="U354" s="5" t="n">
        <v>4.218E-005</v>
      </c>
      <c r="V354" s="1" t="n">
        <v>3.599</v>
      </c>
    </row>
    <row r="355" customFormat="false" ht="12.8" hidden="false" customHeight="false" outlineLevel="0" collapsed="false">
      <c r="A355" s="1" t="n">
        <v>13</v>
      </c>
      <c r="B355" s="4" t="s">
        <v>34</v>
      </c>
      <c r="C355" s="4" t="s">
        <v>35</v>
      </c>
      <c r="D355" s="4" t="n">
        <v>2</v>
      </c>
      <c r="E355" s="6" t="s">
        <v>38</v>
      </c>
      <c r="F355" s="1" t="s">
        <v>23</v>
      </c>
      <c r="G355" s="1" t="n">
        <v>338.9</v>
      </c>
      <c r="H355" s="1" t="n">
        <v>325.2</v>
      </c>
      <c r="I355" s="1" t="n">
        <v>23</v>
      </c>
      <c r="J355" s="1" t="n">
        <v>1</v>
      </c>
      <c r="K355" s="1" t="n">
        <v>0.15769</v>
      </c>
      <c r="L355" s="1" t="n">
        <v>0.01482</v>
      </c>
      <c r="M355" s="1" t="n">
        <v>9.4</v>
      </c>
      <c r="N355" s="1" t="n">
        <v>9.091</v>
      </c>
      <c r="O355" s="1" t="n">
        <v>2.39</v>
      </c>
      <c r="P355" s="1" t="n">
        <v>1.496</v>
      </c>
      <c r="Q355" s="1" t="n">
        <v>14.73</v>
      </c>
      <c r="R355" s="5" t="n">
        <v>-0.008424</v>
      </c>
      <c r="S355" s="1" t="n">
        <v>0.5</v>
      </c>
      <c r="T355" s="5" t="n">
        <v>2.483E-007</v>
      </c>
      <c r="U355" s="5" t="n">
        <v>5.257E-005</v>
      </c>
      <c r="V355" s="1" t="n">
        <v>2.856</v>
      </c>
    </row>
    <row r="356" customFormat="false" ht="12.8" hidden="false" customHeight="false" outlineLevel="0" collapsed="false">
      <c r="A356" s="1" t="n">
        <v>14</v>
      </c>
      <c r="B356" s="4" t="s">
        <v>34</v>
      </c>
      <c r="C356" s="4" t="s">
        <v>35</v>
      </c>
      <c r="D356" s="4" t="n">
        <v>2</v>
      </c>
      <c r="E356" s="6" t="s">
        <v>38</v>
      </c>
      <c r="F356" s="1" t="s">
        <v>23</v>
      </c>
      <c r="G356" s="1" t="n">
        <v>364</v>
      </c>
      <c r="H356" s="1" t="n">
        <v>350.2</v>
      </c>
      <c r="I356" s="1" t="n">
        <v>23</v>
      </c>
      <c r="J356" s="1" t="n">
        <v>1</v>
      </c>
      <c r="K356" s="1" t="n">
        <v>0.199551</v>
      </c>
      <c r="L356" s="1" t="n">
        <v>0.01791</v>
      </c>
      <c r="M356" s="1" t="n">
        <v>8.973</v>
      </c>
      <c r="N356" s="1" t="n">
        <v>8.655</v>
      </c>
      <c r="O356" s="1" t="n">
        <v>2.37</v>
      </c>
      <c r="P356" s="1" t="n">
        <v>1.428</v>
      </c>
      <c r="Q356" s="1" t="n">
        <v>15.31</v>
      </c>
      <c r="R356" s="5" t="n">
        <v>-0.008041</v>
      </c>
      <c r="S356" s="1" t="n">
        <v>0.5</v>
      </c>
      <c r="T356" s="5" t="n">
        <v>3E-007</v>
      </c>
      <c r="U356" s="5" t="n">
        <v>6.652E-005</v>
      </c>
      <c r="V356" s="1" t="n">
        <v>2.751</v>
      </c>
    </row>
    <row r="357" customFormat="false" ht="12.8" hidden="false" customHeight="false" outlineLevel="0" collapsed="false">
      <c r="A357" s="1" t="n">
        <v>15</v>
      </c>
      <c r="B357" s="4" t="s">
        <v>34</v>
      </c>
      <c r="C357" s="4" t="s">
        <v>35</v>
      </c>
      <c r="D357" s="4" t="n">
        <v>2</v>
      </c>
      <c r="E357" s="6" t="s">
        <v>38</v>
      </c>
      <c r="F357" s="1" t="s">
        <v>23</v>
      </c>
      <c r="G357" s="1" t="n">
        <v>389</v>
      </c>
      <c r="H357" s="1" t="n">
        <v>375.2</v>
      </c>
      <c r="I357" s="1" t="n">
        <v>23</v>
      </c>
      <c r="J357" s="1" t="n">
        <v>1</v>
      </c>
      <c r="K357" s="1" t="n">
        <v>0.251951</v>
      </c>
      <c r="L357" s="1" t="n">
        <v>0.02128</v>
      </c>
      <c r="M357" s="1" t="n">
        <v>8.446</v>
      </c>
      <c r="N357" s="1" t="n">
        <v>8.117</v>
      </c>
      <c r="O357" s="1" t="n">
        <v>2.335</v>
      </c>
      <c r="P357" s="1" t="n">
        <v>1.344</v>
      </c>
      <c r="Q357" s="1" t="n">
        <v>16.05</v>
      </c>
      <c r="R357" s="5" t="n">
        <v>-0.008355</v>
      </c>
      <c r="S357" s="1" t="n">
        <v>0.5</v>
      </c>
      <c r="T357" s="5" t="n">
        <v>3.565E-007</v>
      </c>
      <c r="U357" s="5" t="n">
        <v>8.399E-005</v>
      </c>
      <c r="V357" s="1" t="n">
        <v>2.611</v>
      </c>
    </row>
    <row r="358" customFormat="false" ht="12.8" hidden="false" customHeight="false" outlineLevel="0" collapsed="false">
      <c r="A358" s="1" t="n">
        <v>16</v>
      </c>
      <c r="B358" s="4" t="s">
        <v>34</v>
      </c>
      <c r="C358" s="4" t="s">
        <v>35</v>
      </c>
      <c r="D358" s="4" t="n">
        <v>2</v>
      </c>
      <c r="E358" s="6" t="s">
        <v>38</v>
      </c>
      <c r="F358" s="1" t="s">
        <v>23</v>
      </c>
      <c r="G358" s="1" t="n">
        <v>414</v>
      </c>
      <c r="H358" s="1" t="n">
        <v>400.2</v>
      </c>
      <c r="I358" s="1" t="n">
        <v>23</v>
      </c>
      <c r="J358" s="1" t="n">
        <v>1</v>
      </c>
      <c r="K358" s="1" t="n">
        <v>0.316258</v>
      </c>
      <c r="L358" s="1" t="n">
        <v>0.02509</v>
      </c>
      <c r="M358" s="1" t="n">
        <v>7.933</v>
      </c>
      <c r="N358" s="1" t="n">
        <v>7.599</v>
      </c>
      <c r="O358" s="1" t="n">
        <v>2.281</v>
      </c>
      <c r="P358" s="1" t="n">
        <v>1.263</v>
      </c>
      <c r="Q358" s="1" t="n">
        <v>16.71</v>
      </c>
      <c r="R358" s="5" t="n">
        <v>-0.009307</v>
      </c>
      <c r="S358" s="1" t="n">
        <v>0.5</v>
      </c>
      <c r="T358" s="5" t="n">
        <v>4.203E-007</v>
      </c>
      <c r="U358" s="5" t="n">
        <v>0.0001054</v>
      </c>
      <c r="V358" s="1" t="n">
        <v>3.179</v>
      </c>
    </row>
    <row r="359" customFormat="false" ht="12.8" hidden="false" customHeight="false" outlineLevel="0" collapsed="false">
      <c r="A359" s="1" t="n">
        <v>17</v>
      </c>
      <c r="B359" s="4" t="s">
        <v>34</v>
      </c>
      <c r="C359" s="4" t="s">
        <v>35</v>
      </c>
      <c r="D359" s="4" t="n">
        <v>2</v>
      </c>
      <c r="E359" s="6" t="s">
        <v>38</v>
      </c>
      <c r="F359" s="1" t="s">
        <v>23</v>
      </c>
      <c r="G359" s="1" t="n">
        <v>439</v>
      </c>
      <c r="H359" s="1" t="n">
        <v>425.2</v>
      </c>
      <c r="I359" s="1" t="n">
        <v>23</v>
      </c>
      <c r="J359" s="1" t="n">
        <v>1</v>
      </c>
      <c r="K359" s="1" t="n">
        <v>0.397732</v>
      </c>
      <c r="L359" s="1" t="n">
        <v>0.02931</v>
      </c>
      <c r="M359" s="1" t="n">
        <v>7.37</v>
      </c>
      <c r="N359" s="1" t="n">
        <v>7.027</v>
      </c>
      <c r="O359" s="1" t="n">
        <v>2.221</v>
      </c>
      <c r="P359" s="1" t="n">
        <v>1.173</v>
      </c>
      <c r="Q359" s="1" t="n">
        <v>17.54</v>
      </c>
      <c r="R359" s="5" t="n">
        <v>-0.007983</v>
      </c>
      <c r="S359" s="1" t="n">
        <v>0.5</v>
      </c>
      <c r="T359" s="5" t="n">
        <v>4.91E-007</v>
      </c>
      <c r="U359" s="5" t="n">
        <v>0.0001326</v>
      </c>
      <c r="V359" s="1" t="n">
        <v>3.425</v>
      </c>
    </row>
    <row r="360" customFormat="false" ht="12.8" hidden="false" customHeight="false" outlineLevel="0" collapsed="false">
      <c r="A360" s="1" t="n">
        <v>18</v>
      </c>
      <c r="B360" s="4" t="s">
        <v>34</v>
      </c>
      <c r="C360" s="4" t="s">
        <v>35</v>
      </c>
      <c r="D360" s="4" t="n">
        <v>2</v>
      </c>
      <c r="E360" s="6" t="s">
        <v>38</v>
      </c>
      <c r="F360" s="1" t="s">
        <v>23</v>
      </c>
      <c r="G360" s="1" t="n">
        <v>464</v>
      </c>
      <c r="H360" s="1" t="n">
        <v>450.2</v>
      </c>
      <c r="I360" s="1" t="n">
        <v>23</v>
      </c>
      <c r="J360" s="1" t="n">
        <v>1</v>
      </c>
      <c r="K360" s="1" t="n">
        <v>0.502638</v>
      </c>
      <c r="L360" s="1" t="n">
        <v>0.0342</v>
      </c>
      <c r="M360" s="1" t="n">
        <v>6.805</v>
      </c>
      <c r="N360" s="1" t="n">
        <v>6.452</v>
      </c>
      <c r="O360" s="1" t="n">
        <v>2.161</v>
      </c>
      <c r="P360" s="1" t="n">
        <v>1.083</v>
      </c>
      <c r="Q360" s="1" t="n">
        <v>18.52</v>
      </c>
      <c r="R360" s="5" t="n">
        <v>-0.008404</v>
      </c>
      <c r="S360" s="1" t="n">
        <v>0.5</v>
      </c>
      <c r="T360" s="5" t="n">
        <v>5.73E-007</v>
      </c>
      <c r="U360" s="5" t="n">
        <v>0.0001676</v>
      </c>
      <c r="V360" s="1" t="n">
        <v>3.673</v>
      </c>
    </row>
    <row r="361" customFormat="false" ht="12.8" hidden="false" customHeight="false" outlineLevel="0" collapsed="false">
      <c r="A361" s="1" t="n">
        <v>19</v>
      </c>
      <c r="B361" s="4" t="s">
        <v>34</v>
      </c>
      <c r="C361" s="4" t="s">
        <v>35</v>
      </c>
      <c r="D361" s="4" t="n">
        <v>2</v>
      </c>
      <c r="E361" s="6" t="s">
        <v>38</v>
      </c>
      <c r="F361" s="1" t="s">
        <v>23</v>
      </c>
      <c r="G361" s="1" t="n">
        <v>489</v>
      </c>
      <c r="H361" s="1" t="n">
        <v>475.2</v>
      </c>
      <c r="I361" s="1" t="n">
        <v>23</v>
      </c>
      <c r="J361" s="1" t="n">
        <v>1</v>
      </c>
      <c r="K361" s="1" t="n">
        <v>0.631128</v>
      </c>
      <c r="L361" s="1" t="n">
        <v>0.03938</v>
      </c>
      <c r="M361" s="1" t="n">
        <v>6.239</v>
      </c>
      <c r="N361" s="1" t="n">
        <v>5.871</v>
      </c>
      <c r="O361" s="1" t="n">
        <v>2.111</v>
      </c>
      <c r="P361" s="1" t="n">
        <v>0.993</v>
      </c>
      <c r="Q361" s="1" t="n">
        <v>19.77</v>
      </c>
      <c r="R361" s="5" t="n">
        <v>-0.008306</v>
      </c>
      <c r="S361" s="1" t="n">
        <v>0.5</v>
      </c>
      <c r="T361" s="5" t="n">
        <v>6.597E-007</v>
      </c>
      <c r="U361" s="5" t="n">
        <v>0.0002104</v>
      </c>
      <c r="V361" s="1" t="n">
        <v>4.086</v>
      </c>
    </row>
    <row r="362" customFormat="false" ht="12.8" hidden="false" customHeight="false" outlineLevel="0" collapsed="false">
      <c r="A362" s="1" t="n">
        <v>20</v>
      </c>
      <c r="B362" s="4" t="s">
        <v>34</v>
      </c>
      <c r="C362" s="4" t="s">
        <v>35</v>
      </c>
      <c r="D362" s="4" t="n">
        <v>2</v>
      </c>
      <c r="E362" s="6" t="s">
        <v>38</v>
      </c>
      <c r="F362" s="1" t="s">
        <v>23</v>
      </c>
      <c r="G362" s="1" t="n">
        <v>514.1</v>
      </c>
      <c r="H362" s="1" t="n">
        <v>500.3</v>
      </c>
      <c r="I362" s="1" t="n">
        <v>23</v>
      </c>
      <c r="J362" s="1" t="n">
        <v>1</v>
      </c>
      <c r="K362" s="1" t="n">
        <v>0.794284</v>
      </c>
      <c r="L362" s="1" t="n">
        <v>0.04522</v>
      </c>
      <c r="M362" s="1" t="n">
        <v>5.693</v>
      </c>
      <c r="N362" s="1" t="n">
        <v>5.308</v>
      </c>
      <c r="O362" s="1" t="n">
        <v>2.059</v>
      </c>
      <c r="P362" s="1" t="n">
        <v>0.9061</v>
      </c>
      <c r="Q362" s="1" t="n">
        <v>21.2</v>
      </c>
      <c r="R362" s="5" t="n">
        <v>-0.008787</v>
      </c>
      <c r="S362" s="1" t="n">
        <v>0.5</v>
      </c>
      <c r="T362" s="5" t="n">
        <v>7.576E-007</v>
      </c>
      <c r="U362" s="5" t="n">
        <v>0.0002648</v>
      </c>
      <c r="V362" s="1" t="n">
        <v>4.685</v>
      </c>
    </row>
    <row r="363" customFormat="false" ht="12.8" hidden="false" customHeight="false" outlineLevel="0" collapsed="false">
      <c r="A363" s="1" t="n">
        <v>21</v>
      </c>
      <c r="B363" s="4" t="s">
        <v>34</v>
      </c>
      <c r="C363" s="4" t="s">
        <v>35</v>
      </c>
      <c r="D363" s="4" t="n">
        <v>2</v>
      </c>
      <c r="E363" s="6" t="s">
        <v>38</v>
      </c>
      <c r="F363" s="1" t="s">
        <v>23</v>
      </c>
      <c r="G363" s="1" t="n">
        <v>539.1</v>
      </c>
      <c r="H363" s="1" t="n">
        <v>525.3</v>
      </c>
      <c r="I363" s="1" t="n">
        <v>23</v>
      </c>
      <c r="J363" s="1" t="n">
        <v>1</v>
      </c>
      <c r="K363" s="1" t="n">
        <v>1.00043</v>
      </c>
      <c r="L363" s="1" t="n">
        <v>0.05148</v>
      </c>
      <c r="M363" s="1" t="n">
        <v>5.145</v>
      </c>
      <c r="N363" s="1" t="n">
        <v>4.733</v>
      </c>
      <c r="O363" s="1" t="n">
        <v>2.019</v>
      </c>
      <c r="P363" s="1" t="n">
        <v>0.8189</v>
      </c>
      <c r="Q363" s="1" t="n">
        <v>23.1</v>
      </c>
      <c r="R363" s="5" t="n">
        <v>-0.009052</v>
      </c>
      <c r="S363" s="1" t="n">
        <v>0.5</v>
      </c>
      <c r="T363" s="5" t="n">
        <v>8.624E-007</v>
      </c>
      <c r="U363" s="5" t="n">
        <v>0.0003335</v>
      </c>
      <c r="V363" s="1" t="n">
        <v>5.396</v>
      </c>
    </row>
    <row r="364" customFormat="false" ht="12.8" hidden="false" customHeight="false" outlineLevel="0" collapsed="false">
      <c r="A364" s="1" t="n">
        <v>22</v>
      </c>
      <c r="B364" s="4" t="s">
        <v>34</v>
      </c>
      <c r="C364" s="4" t="s">
        <v>35</v>
      </c>
      <c r="D364" s="4" t="n">
        <v>2</v>
      </c>
      <c r="E364" s="6" t="s">
        <v>38</v>
      </c>
      <c r="F364" s="1" t="s">
        <v>23</v>
      </c>
      <c r="G364" s="1" t="n">
        <v>564.1</v>
      </c>
      <c r="H364" s="1" t="n">
        <v>550.3</v>
      </c>
      <c r="I364" s="1" t="n">
        <v>23</v>
      </c>
      <c r="J364" s="1" t="n">
        <v>1</v>
      </c>
      <c r="K364" s="1" t="n">
        <v>1.25942</v>
      </c>
      <c r="L364" s="1" t="n">
        <v>0.0579</v>
      </c>
      <c r="M364" s="1" t="n">
        <v>4.597</v>
      </c>
      <c r="N364" s="1" t="n">
        <v>4.156</v>
      </c>
      <c r="O364" s="1" t="n">
        <v>1.966</v>
      </c>
      <c r="P364" s="1" t="n">
        <v>0.7317</v>
      </c>
      <c r="Q364" s="1" t="n">
        <v>25.32</v>
      </c>
      <c r="R364" s="5" t="n">
        <v>-0.008561</v>
      </c>
      <c r="S364" s="1" t="n">
        <v>0.5</v>
      </c>
      <c r="T364" s="5" t="n">
        <v>9.699E-007</v>
      </c>
      <c r="U364" s="5" t="n">
        <v>0.0004198</v>
      </c>
      <c r="V364" s="1" t="n">
        <v>6.047</v>
      </c>
    </row>
    <row r="365" customFormat="false" ht="12.8" hidden="false" customHeight="false" outlineLevel="0" collapsed="false">
      <c r="A365" s="1" t="n">
        <v>23</v>
      </c>
      <c r="B365" s="4" t="s">
        <v>34</v>
      </c>
      <c r="C365" s="4" t="s">
        <v>35</v>
      </c>
      <c r="D365" s="4" t="n">
        <v>2</v>
      </c>
      <c r="E365" s="6" t="s">
        <v>38</v>
      </c>
      <c r="F365" s="1" t="s">
        <v>23</v>
      </c>
      <c r="G365" s="1" t="n">
        <v>589.1</v>
      </c>
      <c r="H365" s="1" t="n">
        <v>575.3</v>
      </c>
      <c r="I365" s="1" t="n">
        <v>23</v>
      </c>
      <c r="J365" s="1" t="n">
        <v>1</v>
      </c>
      <c r="K365" s="1" t="n">
        <v>1.58441</v>
      </c>
      <c r="L365" s="1" t="n">
        <v>0.06465</v>
      </c>
      <c r="M365" s="1" t="n">
        <v>4.08</v>
      </c>
      <c r="N365" s="1" t="n">
        <v>3.623</v>
      </c>
      <c r="O365" s="1" t="n">
        <v>1.877</v>
      </c>
      <c r="P365" s="1" t="n">
        <v>0.6494</v>
      </c>
      <c r="Q365" s="1" t="n">
        <v>27.39</v>
      </c>
      <c r="R365" s="5" t="n">
        <v>-0.009493</v>
      </c>
      <c r="S365" s="1" t="n">
        <v>0.5</v>
      </c>
      <c r="T365" s="5" t="n">
        <v>1.083E-006</v>
      </c>
      <c r="U365" s="5" t="n">
        <v>0.0005282</v>
      </c>
      <c r="V365" s="1" t="n">
        <v>6.467</v>
      </c>
    </row>
    <row r="366" customFormat="false" ht="12.8" hidden="false" customHeight="false" outlineLevel="0" collapsed="false">
      <c r="A366" s="1" t="n">
        <v>24</v>
      </c>
      <c r="B366" s="4" t="s">
        <v>34</v>
      </c>
      <c r="C366" s="4" t="s">
        <v>35</v>
      </c>
      <c r="D366" s="4" t="n">
        <v>2</v>
      </c>
      <c r="E366" s="6" t="s">
        <v>38</v>
      </c>
      <c r="F366" s="1" t="s">
        <v>23</v>
      </c>
      <c r="G366" s="1" t="n">
        <v>614.1</v>
      </c>
      <c r="H366" s="1" t="n">
        <v>600.3</v>
      </c>
      <c r="I366" s="1" t="n">
        <v>23</v>
      </c>
      <c r="J366" s="1" t="n">
        <v>1</v>
      </c>
      <c r="K366" s="1" t="n">
        <v>1.99853</v>
      </c>
      <c r="L366" s="1" t="n">
        <v>0.07123</v>
      </c>
      <c r="M366" s="1" t="n">
        <v>3.564</v>
      </c>
      <c r="N366" s="1" t="n">
        <v>3.09</v>
      </c>
      <c r="O366" s="1" t="n">
        <v>1.777</v>
      </c>
      <c r="P366" s="1" t="n">
        <v>0.5673</v>
      </c>
      <c r="Q366" s="1" t="n">
        <v>29.91</v>
      </c>
      <c r="R366" s="5" t="n">
        <v>-0.008512</v>
      </c>
      <c r="S366" s="1" t="n">
        <v>0.5</v>
      </c>
      <c r="T366" s="5" t="n">
        <v>1.193E-006</v>
      </c>
      <c r="U366" s="5" t="n">
        <v>0.0006662</v>
      </c>
      <c r="V366" s="1" t="n">
        <v>8.97</v>
      </c>
    </row>
    <row r="367" customFormat="false" ht="12.8" hidden="false" customHeight="false" outlineLevel="0" collapsed="false">
      <c r="A367" s="1" t="n">
        <v>25</v>
      </c>
      <c r="B367" s="4" t="s">
        <v>34</v>
      </c>
      <c r="C367" s="4" t="s">
        <v>35</v>
      </c>
      <c r="D367" s="4" t="n">
        <v>2</v>
      </c>
      <c r="E367" s="6" t="s">
        <v>38</v>
      </c>
      <c r="F367" s="1" t="s">
        <v>23</v>
      </c>
      <c r="G367" s="1" t="n">
        <v>639.1</v>
      </c>
      <c r="H367" s="1" t="n">
        <v>625.3</v>
      </c>
      <c r="I367" s="1" t="n">
        <v>23</v>
      </c>
      <c r="J367" s="1" t="n">
        <v>1</v>
      </c>
      <c r="K367" s="1" t="n">
        <v>2.51367</v>
      </c>
      <c r="L367" s="1" t="n">
        <v>0.07687</v>
      </c>
      <c r="M367" s="1" t="n">
        <v>3.058</v>
      </c>
      <c r="N367" s="1" t="n">
        <v>2.545</v>
      </c>
      <c r="O367" s="1" t="n">
        <v>1.695</v>
      </c>
      <c r="P367" s="1" t="n">
        <v>0.4867</v>
      </c>
      <c r="Q367" s="1" t="n">
        <v>33.66</v>
      </c>
      <c r="R367" s="5" t="n">
        <v>-0.009228</v>
      </c>
      <c r="S367" s="1" t="n">
        <v>0.5</v>
      </c>
      <c r="T367" s="5" t="n">
        <v>1.288E-006</v>
      </c>
      <c r="U367" s="5" t="n">
        <v>0.0008379</v>
      </c>
      <c r="V367" s="1" t="n">
        <v>10.84</v>
      </c>
    </row>
    <row r="368" customFormat="false" ht="12.8" hidden="false" customHeight="false" outlineLevel="0" collapsed="false">
      <c r="A368" s="1" t="n">
        <v>26</v>
      </c>
      <c r="B368" s="4" t="s">
        <v>34</v>
      </c>
      <c r="C368" s="4" t="s">
        <v>35</v>
      </c>
      <c r="D368" s="4" t="n">
        <v>2</v>
      </c>
      <c r="E368" s="6" t="s">
        <v>38</v>
      </c>
      <c r="F368" s="1" t="s">
        <v>23</v>
      </c>
      <c r="G368" s="1" t="n">
        <v>664.1</v>
      </c>
      <c r="H368" s="1" t="n">
        <v>650.3</v>
      </c>
      <c r="I368" s="1" t="n">
        <v>23</v>
      </c>
      <c r="J368" s="1" t="n">
        <v>1</v>
      </c>
      <c r="K368" s="1" t="n">
        <v>3.16322</v>
      </c>
      <c r="L368" s="1" t="n">
        <v>0.08047</v>
      </c>
      <c r="M368" s="1" t="n">
        <v>2.544</v>
      </c>
      <c r="N368" s="1" t="n">
        <v>2.002</v>
      </c>
      <c r="O368" s="1" t="n">
        <v>1.569</v>
      </c>
      <c r="P368" s="1" t="n">
        <v>0.4049</v>
      </c>
      <c r="Q368" s="1" t="n">
        <v>38.08</v>
      </c>
      <c r="R368" s="5" t="n">
        <v>-0.009356</v>
      </c>
      <c r="S368" s="1" t="n">
        <v>0.5</v>
      </c>
      <c r="T368" s="5" t="n">
        <v>1.348E-006</v>
      </c>
      <c r="U368" s="5" t="n">
        <v>0.001054</v>
      </c>
      <c r="V368" s="1" t="n">
        <v>13.17</v>
      </c>
    </row>
    <row r="369" customFormat="false" ht="12.8" hidden="false" customHeight="false" outlineLevel="0" collapsed="false">
      <c r="A369" s="1" t="n">
        <v>27</v>
      </c>
      <c r="B369" s="4" t="s">
        <v>34</v>
      </c>
      <c r="C369" s="4" t="s">
        <v>35</v>
      </c>
      <c r="D369" s="4" t="n">
        <v>2</v>
      </c>
      <c r="E369" s="6" t="s">
        <v>38</v>
      </c>
      <c r="F369" s="1" t="s">
        <v>23</v>
      </c>
      <c r="G369" s="1" t="n">
        <v>689.1</v>
      </c>
      <c r="H369" s="1" t="n">
        <v>675.4</v>
      </c>
      <c r="I369" s="1" t="n">
        <v>23</v>
      </c>
      <c r="J369" s="1" t="n">
        <v>1</v>
      </c>
      <c r="K369" s="1" t="n">
        <v>3.98623</v>
      </c>
      <c r="L369" s="1" t="n">
        <v>0.08571</v>
      </c>
      <c r="M369" s="1" t="n">
        <v>2.15</v>
      </c>
      <c r="N369" s="1" t="n">
        <v>1.627</v>
      </c>
      <c r="O369" s="1" t="n">
        <v>1.406</v>
      </c>
      <c r="P369" s="1" t="n">
        <v>0.3422</v>
      </c>
      <c r="Q369" s="1" t="n">
        <v>40.83</v>
      </c>
      <c r="R369" s="5" t="n">
        <v>-0.008689</v>
      </c>
      <c r="S369" s="1" t="n">
        <v>0.5</v>
      </c>
      <c r="T369" s="5" t="n">
        <v>1.436E-006</v>
      </c>
      <c r="U369" s="5" t="n">
        <v>0.001329</v>
      </c>
      <c r="V369" s="1" t="n">
        <v>15.66</v>
      </c>
    </row>
    <row r="370" customFormat="false" ht="12.8" hidden="false" customHeight="false" outlineLevel="0" collapsed="false">
      <c r="A370" s="1" t="n">
        <v>28</v>
      </c>
      <c r="B370" s="4" t="s">
        <v>34</v>
      </c>
      <c r="C370" s="4" t="s">
        <v>35</v>
      </c>
      <c r="D370" s="4" t="n">
        <v>2</v>
      </c>
      <c r="E370" s="6" t="s">
        <v>38</v>
      </c>
      <c r="F370" s="1" t="s">
        <v>23</v>
      </c>
      <c r="G370" s="1" t="n">
        <v>714.2</v>
      </c>
      <c r="H370" s="1" t="n">
        <v>700.4</v>
      </c>
      <c r="I370" s="1" t="n">
        <v>23</v>
      </c>
      <c r="J370" s="1" t="n">
        <v>1</v>
      </c>
      <c r="K370" s="1" t="n">
        <v>5.01122</v>
      </c>
      <c r="L370" s="1" t="n">
        <v>0.08619</v>
      </c>
      <c r="M370" s="1" t="n">
        <v>1.72</v>
      </c>
      <c r="N370" s="1" t="n">
        <v>1.196</v>
      </c>
      <c r="O370" s="1" t="n">
        <v>1.236</v>
      </c>
      <c r="P370" s="1" t="n">
        <v>0.2737</v>
      </c>
      <c r="Q370" s="1" t="n">
        <v>45.94</v>
      </c>
      <c r="R370" s="1" t="n">
        <v>-0.01066</v>
      </c>
      <c r="S370" s="1" t="n">
        <v>0.5</v>
      </c>
      <c r="T370" s="5" t="n">
        <v>1.444E-006</v>
      </c>
      <c r="U370" s="5" t="n">
        <v>0.00167</v>
      </c>
      <c r="V370" s="1" t="n">
        <v>18.96</v>
      </c>
    </row>
    <row r="371" customFormat="false" ht="12.8" hidden="false" customHeight="false" outlineLevel="0" collapsed="false">
      <c r="A371" s="1" t="n">
        <v>29</v>
      </c>
      <c r="B371" s="4" t="s">
        <v>34</v>
      </c>
      <c r="C371" s="4" t="s">
        <v>35</v>
      </c>
      <c r="D371" s="4" t="n">
        <v>2</v>
      </c>
      <c r="E371" s="6" t="s">
        <v>38</v>
      </c>
      <c r="F371" s="1" t="s">
        <v>23</v>
      </c>
      <c r="G371" s="1" t="n">
        <v>739.2</v>
      </c>
      <c r="H371" s="1" t="n">
        <v>725.4</v>
      </c>
      <c r="I371" s="1" t="n">
        <v>23</v>
      </c>
      <c r="J371" s="1" t="n">
        <v>1</v>
      </c>
      <c r="K371" s="1" t="n">
        <v>6.30912</v>
      </c>
      <c r="L371" s="1" t="n">
        <v>0.08085</v>
      </c>
      <c r="M371" s="1" t="n">
        <v>1.281</v>
      </c>
      <c r="N371" s="1" t="n">
        <v>0.7789</v>
      </c>
      <c r="O371" s="1" t="n">
        <v>1.018</v>
      </c>
      <c r="P371" s="1" t="n">
        <v>0.204</v>
      </c>
      <c r="Q371" s="1" t="n">
        <v>52.57</v>
      </c>
      <c r="R371" s="1" t="n">
        <v>-0.01004</v>
      </c>
      <c r="S371" s="1" t="n">
        <v>0.5</v>
      </c>
      <c r="T371" s="5" t="n">
        <v>1.354E-006</v>
      </c>
      <c r="U371" s="5" t="n">
        <v>0.002103</v>
      </c>
      <c r="V371" s="1" t="n">
        <v>18.93</v>
      </c>
    </row>
    <row r="372" customFormat="false" ht="12.8" hidden="false" customHeight="false" outlineLevel="0" collapsed="false">
      <c r="A372" s="1" t="n">
        <v>30</v>
      </c>
      <c r="B372" s="4" t="s">
        <v>34</v>
      </c>
      <c r="C372" s="4" t="s">
        <v>35</v>
      </c>
      <c r="D372" s="4" t="n">
        <v>2</v>
      </c>
      <c r="E372" s="6" t="s">
        <v>38</v>
      </c>
      <c r="F372" s="1" t="s">
        <v>23</v>
      </c>
      <c r="G372" s="1" t="n">
        <v>764.2</v>
      </c>
      <c r="H372" s="1" t="n">
        <v>750.4</v>
      </c>
      <c r="I372" s="1" t="n">
        <v>23</v>
      </c>
      <c r="J372" s="1" t="n">
        <v>1</v>
      </c>
      <c r="K372" s="1" t="n">
        <v>7.93</v>
      </c>
      <c r="L372" s="1" t="n">
        <v>0.08732</v>
      </c>
      <c r="M372" s="1" t="n">
        <v>1.101</v>
      </c>
      <c r="N372" s="1" t="n">
        <v>0.6587</v>
      </c>
      <c r="O372" s="1" t="n">
        <v>0.8824</v>
      </c>
      <c r="P372" s="1" t="n">
        <v>0.1753</v>
      </c>
      <c r="Q372" s="1" t="n">
        <v>53.26</v>
      </c>
      <c r="R372" s="1" t="n">
        <v>-0.0107</v>
      </c>
      <c r="S372" s="1" t="n">
        <v>0.5</v>
      </c>
      <c r="T372" s="5" t="n">
        <v>1.463E-006</v>
      </c>
      <c r="U372" s="5" t="n">
        <v>0.002643</v>
      </c>
      <c r="V372" s="1" t="n">
        <v>19.7</v>
      </c>
    </row>
    <row r="373" customFormat="false" ht="12.8" hidden="false" customHeight="false" outlineLevel="0" collapsed="false">
      <c r="A373" s="1" t="n">
        <v>31</v>
      </c>
      <c r="B373" s="4" t="s">
        <v>34</v>
      </c>
      <c r="C373" s="4" t="s">
        <v>35</v>
      </c>
      <c r="D373" s="4" t="n">
        <v>2</v>
      </c>
      <c r="E373" s="6" t="s">
        <v>38</v>
      </c>
      <c r="F373" s="1" t="s">
        <v>23</v>
      </c>
      <c r="G373" s="1" t="n">
        <v>789.2</v>
      </c>
      <c r="H373" s="1" t="n">
        <v>775.4</v>
      </c>
      <c r="I373" s="1" t="n">
        <v>23</v>
      </c>
      <c r="J373" s="1" t="n">
        <v>1</v>
      </c>
      <c r="K373" s="1" t="n">
        <v>9.98846</v>
      </c>
      <c r="L373" s="1" t="n">
        <v>0.09465</v>
      </c>
      <c r="M373" s="1" t="n">
        <v>0.9476</v>
      </c>
      <c r="N373" s="1" t="n">
        <v>0.5417</v>
      </c>
      <c r="O373" s="1" t="n">
        <v>0.7776</v>
      </c>
      <c r="P373" s="1" t="n">
        <v>0.1508</v>
      </c>
      <c r="Q373" s="1" t="n">
        <v>55.14</v>
      </c>
      <c r="R373" s="1" t="n">
        <v>-0.01027</v>
      </c>
      <c r="S373" s="1" t="n">
        <v>0.5</v>
      </c>
      <c r="T373" s="5" t="n">
        <v>1.586E-006</v>
      </c>
      <c r="U373" s="5" t="n">
        <v>0.00333</v>
      </c>
      <c r="V373" s="1" t="n">
        <v>15.64</v>
      </c>
    </row>
    <row r="374" customFormat="false" ht="12.8" hidden="false" customHeight="false" outlineLevel="0" collapsed="false">
      <c r="A374" s="1" t="n">
        <v>1</v>
      </c>
      <c r="B374" s="4" t="s">
        <v>39</v>
      </c>
      <c r="C374" s="4" t="str">
        <f aca="false">IF(LEFT(E374,2)="S5","Spritz","Standard")</f>
        <v>Standard</v>
      </c>
      <c r="D374" s="4" t="n">
        <f aca="false">IF(RIGHT(E374,2)=".1",1,IF(RIGHT(E374,2)=".2",2,0))</f>
        <v>0</v>
      </c>
      <c r="E374" s="6" t="s">
        <v>40</v>
      </c>
      <c r="F374" s="1" t="s">
        <v>23</v>
      </c>
      <c r="G374" s="1" t="n">
        <v>47.91</v>
      </c>
      <c r="H374" s="1" t="n">
        <v>25</v>
      </c>
      <c r="I374" s="1" t="n">
        <v>23.01</v>
      </c>
      <c r="J374" s="1" t="n">
        <v>1</v>
      </c>
      <c r="K374" s="5" t="n">
        <v>0.00942072</v>
      </c>
      <c r="L374" s="5" t="n">
        <v>0.005927</v>
      </c>
      <c r="M374" s="1" t="n">
        <v>62.91</v>
      </c>
      <c r="N374" s="1" t="n">
        <v>62.02</v>
      </c>
      <c r="O374" s="1" t="n">
        <v>10.57</v>
      </c>
      <c r="P374" s="1" t="n">
        <v>10.01</v>
      </c>
      <c r="Q374" s="1" t="n">
        <v>9.67</v>
      </c>
      <c r="R374" s="5" t="n">
        <v>-0.007953</v>
      </c>
      <c r="S374" s="1" t="n">
        <v>0.5</v>
      </c>
      <c r="T374" s="5" t="n">
        <v>9.929E-008</v>
      </c>
      <c r="U374" s="5" t="n">
        <v>3.14E-006</v>
      </c>
      <c r="V374" s="1" t="n">
        <v>1.697</v>
      </c>
    </row>
    <row r="375" customFormat="false" ht="12.8" hidden="false" customHeight="false" outlineLevel="0" collapsed="false">
      <c r="A375" s="1" t="n">
        <v>2</v>
      </c>
      <c r="B375" s="4" t="s">
        <v>39</v>
      </c>
      <c r="C375" s="4" t="str">
        <f aca="false">IF(LEFT(E375,2)="S5","Spritz","Standard")</f>
        <v>Standard</v>
      </c>
      <c r="D375" s="4" t="n">
        <f aca="false">IF(RIGHT(E375,2)=".1",1,IF(RIGHT(E375,2)=".2",2,0))</f>
        <v>0</v>
      </c>
      <c r="E375" s="6" t="s">
        <v>40</v>
      </c>
      <c r="F375" s="1" t="s">
        <v>23</v>
      </c>
      <c r="G375" s="1" t="n">
        <v>72.93</v>
      </c>
      <c r="H375" s="1" t="n">
        <v>50.02</v>
      </c>
      <c r="I375" s="1" t="n">
        <v>23.01</v>
      </c>
      <c r="J375" s="1" t="n">
        <v>1</v>
      </c>
      <c r="K375" s="1" t="n">
        <v>0.0133362</v>
      </c>
      <c r="L375" s="5" t="n">
        <v>0.008483</v>
      </c>
      <c r="M375" s="1" t="n">
        <v>63.61</v>
      </c>
      <c r="N375" s="1" t="n">
        <v>62.85</v>
      </c>
      <c r="O375" s="1" t="n">
        <v>9.773</v>
      </c>
      <c r="P375" s="1" t="n">
        <v>10.12</v>
      </c>
      <c r="Q375" s="1" t="n">
        <v>8.84</v>
      </c>
      <c r="R375" s="5" t="n">
        <v>-0.008689</v>
      </c>
      <c r="S375" s="1" t="n">
        <v>0.5</v>
      </c>
      <c r="T375" s="5" t="n">
        <v>1.421E-007</v>
      </c>
      <c r="U375" s="5" t="n">
        <v>4.446E-006</v>
      </c>
      <c r="V375" s="1" t="n">
        <v>1.347</v>
      </c>
    </row>
    <row r="376" customFormat="false" ht="12.8" hidden="false" customHeight="false" outlineLevel="0" collapsed="false">
      <c r="A376" s="1" t="n">
        <v>3</v>
      </c>
      <c r="B376" s="4" t="s">
        <v>39</v>
      </c>
      <c r="C376" s="4" t="str">
        <f aca="false">IF(LEFT(E376,2)="S5","Spritz","Standard")</f>
        <v>Standard</v>
      </c>
      <c r="D376" s="4" t="n">
        <f aca="false">IF(RIGHT(E376,2)=".1",1,IF(RIGHT(E376,2)=".2",2,0))</f>
        <v>0</v>
      </c>
      <c r="E376" s="6" t="s">
        <v>40</v>
      </c>
      <c r="F376" s="1" t="s">
        <v>23</v>
      </c>
      <c r="G376" s="1" t="n">
        <v>97.94</v>
      </c>
      <c r="H376" s="1" t="n">
        <v>75.04</v>
      </c>
      <c r="I376" s="1" t="n">
        <v>23.01</v>
      </c>
      <c r="J376" s="1" t="n">
        <v>1</v>
      </c>
      <c r="K376" s="1" t="n">
        <v>0.0153437</v>
      </c>
      <c r="L376" s="5" t="n">
        <v>0.009736</v>
      </c>
      <c r="M376" s="1" t="n">
        <v>63.46</v>
      </c>
      <c r="N376" s="1" t="n">
        <v>62.64</v>
      </c>
      <c r="O376" s="1" t="n">
        <v>10.13</v>
      </c>
      <c r="P376" s="1" t="n">
        <v>10.1</v>
      </c>
      <c r="Q376" s="1" t="n">
        <v>9.19</v>
      </c>
      <c r="R376" s="5" t="n">
        <v>-0.008914</v>
      </c>
      <c r="S376" s="1" t="n">
        <v>0.5</v>
      </c>
      <c r="T376" s="5" t="n">
        <v>1.631E-007</v>
      </c>
      <c r="U376" s="5" t="n">
        <v>5.115E-006</v>
      </c>
      <c r="V376" s="1" t="n">
        <v>0.7847</v>
      </c>
    </row>
    <row r="377" customFormat="false" ht="12.8" hidden="false" customHeight="false" outlineLevel="0" collapsed="false">
      <c r="A377" s="1" t="n">
        <v>4</v>
      </c>
      <c r="B377" s="4" t="s">
        <v>39</v>
      </c>
      <c r="C377" s="4" t="str">
        <f aca="false">IF(LEFT(E377,2)="S5","Spritz","Standard")</f>
        <v>Standard</v>
      </c>
      <c r="D377" s="4" t="n">
        <f aca="false">IF(RIGHT(E377,2)=".1",1,IF(RIGHT(E377,2)=".2",2,0))</f>
        <v>0</v>
      </c>
      <c r="E377" s="6" t="s">
        <v>40</v>
      </c>
      <c r="F377" s="1" t="s">
        <v>23</v>
      </c>
      <c r="G377" s="1" t="n">
        <v>123</v>
      </c>
      <c r="H377" s="1" t="n">
        <v>100.1</v>
      </c>
      <c r="I377" s="1" t="n">
        <v>23</v>
      </c>
      <c r="J377" s="1" t="n">
        <v>1</v>
      </c>
      <c r="K377" s="1" t="n">
        <v>0.0202732</v>
      </c>
      <c r="L377" s="1" t="n">
        <v>0.01289</v>
      </c>
      <c r="M377" s="1" t="n">
        <v>63.59</v>
      </c>
      <c r="N377" s="1" t="n">
        <v>62.72</v>
      </c>
      <c r="O377" s="1" t="n">
        <v>10.52</v>
      </c>
      <c r="P377" s="1" t="n">
        <v>10.12</v>
      </c>
      <c r="Q377" s="1" t="n">
        <v>9.53</v>
      </c>
      <c r="R377" s="5" t="n">
        <v>-0.008826</v>
      </c>
      <c r="S377" s="1" t="n">
        <v>0.5</v>
      </c>
      <c r="T377" s="5" t="n">
        <v>2.16E-007</v>
      </c>
      <c r="U377" s="5" t="n">
        <v>6.758E-006</v>
      </c>
      <c r="V377" s="1" t="n">
        <v>0.3517</v>
      </c>
    </row>
    <row r="378" customFormat="false" ht="12.8" hidden="false" customHeight="false" outlineLevel="0" collapsed="false">
      <c r="A378" s="1" t="n">
        <v>5</v>
      </c>
      <c r="B378" s="4" t="s">
        <v>39</v>
      </c>
      <c r="C378" s="4" t="str">
        <f aca="false">IF(LEFT(E378,2)="S5","Spritz","Standard")</f>
        <v>Standard</v>
      </c>
      <c r="D378" s="4" t="n">
        <f aca="false">IF(RIGHT(E378,2)=".1",1,IF(RIGHT(E378,2)=".2",2,0))</f>
        <v>0</v>
      </c>
      <c r="E378" s="6" t="s">
        <v>40</v>
      </c>
      <c r="F378" s="1" t="s">
        <v>23</v>
      </c>
      <c r="G378" s="1" t="n">
        <v>148</v>
      </c>
      <c r="H378" s="1" t="n">
        <v>125.1</v>
      </c>
      <c r="I378" s="1" t="n">
        <v>23.01</v>
      </c>
      <c r="J378" s="1" t="n">
        <v>1</v>
      </c>
      <c r="K378" s="1" t="n">
        <v>0.0245957</v>
      </c>
      <c r="L378" s="1" t="n">
        <v>0.01553</v>
      </c>
      <c r="M378" s="1" t="n">
        <v>63.14</v>
      </c>
      <c r="N378" s="1" t="n">
        <v>62.35</v>
      </c>
      <c r="O378" s="1" t="n">
        <v>9.94</v>
      </c>
      <c r="P378" s="1" t="n">
        <v>10.05</v>
      </c>
      <c r="Q378" s="1" t="n">
        <v>9.06</v>
      </c>
      <c r="R378" s="5" t="n">
        <v>-0.008797</v>
      </c>
      <c r="S378" s="1" t="n">
        <v>0.5</v>
      </c>
      <c r="T378" s="5" t="n">
        <v>2.602E-007</v>
      </c>
      <c r="U378" s="5" t="n">
        <v>8.199E-006</v>
      </c>
      <c r="V378" s="1" t="n">
        <v>0.5724</v>
      </c>
    </row>
    <row r="379" customFormat="false" ht="12.8" hidden="false" customHeight="false" outlineLevel="0" collapsed="false">
      <c r="A379" s="1" t="n">
        <v>6</v>
      </c>
      <c r="B379" s="4" t="s">
        <v>39</v>
      </c>
      <c r="C379" s="4" t="str">
        <f aca="false">IF(LEFT(E379,2)="S5","Spritz","Standard")</f>
        <v>Standard</v>
      </c>
      <c r="D379" s="4" t="n">
        <f aca="false">IF(RIGHT(E379,2)=".1",1,IF(RIGHT(E379,2)=".2",2,0))</f>
        <v>0</v>
      </c>
      <c r="E379" s="6" t="s">
        <v>40</v>
      </c>
      <c r="F379" s="1" t="s">
        <v>23</v>
      </c>
      <c r="G379" s="1" t="n">
        <v>173</v>
      </c>
      <c r="H379" s="1" t="n">
        <v>150.1</v>
      </c>
      <c r="I379" s="1" t="n">
        <v>23</v>
      </c>
      <c r="J379" s="1" t="n">
        <v>1</v>
      </c>
      <c r="K379" s="1" t="n">
        <v>0.0316642</v>
      </c>
      <c r="L379" s="1" t="n">
        <v>0.02005</v>
      </c>
      <c r="M379" s="1" t="n">
        <v>63.31</v>
      </c>
      <c r="N379" s="1" t="n">
        <v>62.48</v>
      </c>
      <c r="O379" s="1" t="n">
        <v>10.21</v>
      </c>
      <c r="P379" s="1" t="n">
        <v>10.08</v>
      </c>
      <c r="Q379" s="1" t="n">
        <v>9.28</v>
      </c>
      <c r="R379" s="5" t="n">
        <v>-0.008983</v>
      </c>
      <c r="S379" s="1" t="n">
        <v>0.5</v>
      </c>
      <c r="T379" s="5" t="n">
        <v>3.358E-007</v>
      </c>
      <c r="U379" s="5" t="n">
        <v>1.056E-005</v>
      </c>
      <c r="V379" s="1" t="n">
        <v>0.4202</v>
      </c>
    </row>
    <row r="380" customFormat="false" ht="12.8" hidden="false" customHeight="false" outlineLevel="0" collapsed="false">
      <c r="A380" s="1" t="n">
        <v>7</v>
      </c>
      <c r="B380" s="4" t="s">
        <v>39</v>
      </c>
      <c r="C380" s="4" t="str">
        <f aca="false">IF(LEFT(E380,2)="S5","Spritz","Standard")</f>
        <v>Standard</v>
      </c>
      <c r="D380" s="4" t="n">
        <f aca="false">IF(RIGHT(E380,2)=".1",1,IF(RIGHT(E380,2)=".2",2,0))</f>
        <v>0</v>
      </c>
      <c r="E380" s="6" t="s">
        <v>40</v>
      </c>
      <c r="F380" s="1" t="s">
        <v>23</v>
      </c>
      <c r="G380" s="1" t="n">
        <v>198</v>
      </c>
      <c r="H380" s="1" t="n">
        <v>175.1</v>
      </c>
      <c r="I380" s="1" t="n">
        <v>23</v>
      </c>
      <c r="J380" s="1" t="n">
        <v>1</v>
      </c>
      <c r="K380" s="1" t="n">
        <v>0.0396208</v>
      </c>
      <c r="L380" s="1" t="n">
        <v>0.02481</v>
      </c>
      <c r="M380" s="1" t="n">
        <v>62.61</v>
      </c>
      <c r="N380" s="1" t="n">
        <v>61.89</v>
      </c>
      <c r="O380" s="1" t="n">
        <v>9.489</v>
      </c>
      <c r="P380" s="1" t="n">
        <v>9.965</v>
      </c>
      <c r="Q380" s="1" t="n">
        <v>8.72</v>
      </c>
      <c r="R380" s="5" t="n">
        <v>-0.009424</v>
      </c>
      <c r="S380" s="1" t="n">
        <v>0.5</v>
      </c>
      <c r="T380" s="5" t="n">
        <v>4.156E-007</v>
      </c>
      <c r="U380" s="5" t="n">
        <v>1.321E-005</v>
      </c>
      <c r="V380" s="1" t="n">
        <v>0.7836</v>
      </c>
    </row>
    <row r="381" customFormat="false" ht="12.8" hidden="false" customHeight="false" outlineLevel="0" collapsed="false">
      <c r="A381" s="1" t="n">
        <v>8</v>
      </c>
      <c r="B381" s="4" t="s">
        <v>39</v>
      </c>
      <c r="C381" s="4" t="str">
        <f aca="false">IF(LEFT(E381,2)="S5","Spritz","Standard")</f>
        <v>Standard</v>
      </c>
      <c r="D381" s="4" t="n">
        <f aca="false">IF(RIGHT(E381,2)=".1",1,IF(RIGHT(E381,2)=".2",2,0))</f>
        <v>0</v>
      </c>
      <c r="E381" s="6" t="s">
        <v>40</v>
      </c>
      <c r="F381" s="1" t="s">
        <v>23</v>
      </c>
      <c r="G381" s="1" t="n">
        <v>223</v>
      </c>
      <c r="H381" s="1" t="n">
        <v>200.1</v>
      </c>
      <c r="I381" s="1" t="n">
        <v>23</v>
      </c>
      <c r="J381" s="1" t="n">
        <v>1</v>
      </c>
      <c r="K381" s="1" t="n">
        <v>0.050499</v>
      </c>
      <c r="L381" s="1" t="n">
        <v>0.03162</v>
      </c>
      <c r="M381" s="1" t="n">
        <v>62.62</v>
      </c>
      <c r="N381" s="1" t="n">
        <v>61.76</v>
      </c>
      <c r="O381" s="1" t="n">
        <v>10.34</v>
      </c>
      <c r="P381" s="1" t="n">
        <v>9.967</v>
      </c>
      <c r="Q381" s="1" t="n">
        <v>9.51</v>
      </c>
      <c r="R381" s="5" t="n">
        <v>-0.009601</v>
      </c>
      <c r="S381" s="1" t="n">
        <v>0.5</v>
      </c>
      <c r="T381" s="5" t="n">
        <v>5.298E-007</v>
      </c>
      <c r="U381" s="5" t="n">
        <v>1.683E-005</v>
      </c>
      <c r="V381" s="1" t="n">
        <v>0.2371</v>
      </c>
    </row>
    <row r="382" customFormat="false" ht="12.8" hidden="false" customHeight="false" outlineLevel="0" collapsed="false">
      <c r="A382" s="1" t="n">
        <v>9</v>
      </c>
      <c r="B382" s="4" t="s">
        <v>39</v>
      </c>
      <c r="C382" s="4" t="str">
        <f aca="false">IF(LEFT(E382,2)="S5","Spritz","Standard")</f>
        <v>Standard</v>
      </c>
      <c r="D382" s="4" t="n">
        <f aca="false">IF(RIGHT(E382,2)=".1",1,IF(RIGHT(E382,2)=".2",2,0))</f>
        <v>0</v>
      </c>
      <c r="E382" s="6" t="s">
        <v>40</v>
      </c>
      <c r="F382" s="1" t="s">
        <v>23</v>
      </c>
      <c r="G382" s="1" t="n">
        <v>248</v>
      </c>
      <c r="H382" s="1" t="n">
        <v>225.1</v>
      </c>
      <c r="I382" s="1" t="n">
        <v>23</v>
      </c>
      <c r="J382" s="1" t="n">
        <v>1</v>
      </c>
      <c r="K382" s="1" t="n">
        <v>0.0628306</v>
      </c>
      <c r="L382" s="1" t="n">
        <v>0.03877</v>
      </c>
      <c r="M382" s="1" t="n">
        <v>61.71</v>
      </c>
      <c r="N382" s="1" t="n">
        <v>60.94</v>
      </c>
      <c r="O382" s="1" t="n">
        <v>9.705</v>
      </c>
      <c r="P382" s="1" t="n">
        <v>9.821</v>
      </c>
      <c r="Q382" s="1" t="n">
        <v>9.05</v>
      </c>
      <c r="R382" s="1" t="n">
        <v>-0.01012</v>
      </c>
      <c r="S382" s="1" t="n">
        <v>0.5</v>
      </c>
      <c r="T382" s="5" t="n">
        <v>6.495E-007</v>
      </c>
      <c r="U382" s="5" t="n">
        <v>2.094E-005</v>
      </c>
      <c r="V382" s="1" t="n">
        <v>0.3407</v>
      </c>
    </row>
    <row r="383" customFormat="false" ht="12.8" hidden="false" customHeight="false" outlineLevel="0" collapsed="false">
      <c r="A383" s="1" t="n">
        <v>10</v>
      </c>
      <c r="B383" s="4" t="s">
        <v>39</v>
      </c>
      <c r="C383" s="4" t="str">
        <f aca="false">IF(LEFT(E383,2)="S5","Spritz","Standard")</f>
        <v>Standard</v>
      </c>
      <c r="D383" s="4" t="n">
        <f aca="false">IF(RIGHT(E383,2)=".1",1,IF(RIGHT(E383,2)=".2",2,0))</f>
        <v>0</v>
      </c>
      <c r="E383" s="6" t="s">
        <v>40</v>
      </c>
      <c r="F383" s="1" t="s">
        <v>23</v>
      </c>
      <c r="G383" s="1" t="n">
        <v>273</v>
      </c>
      <c r="H383" s="1" t="n">
        <v>250.1</v>
      </c>
      <c r="I383" s="1" t="n">
        <v>23</v>
      </c>
      <c r="J383" s="1" t="n">
        <v>1</v>
      </c>
      <c r="K383" s="1" t="n">
        <v>0.0791857</v>
      </c>
      <c r="L383" s="1" t="n">
        <v>0.04853</v>
      </c>
      <c r="M383" s="1" t="n">
        <v>61.29</v>
      </c>
      <c r="N383" s="1" t="n">
        <v>60.47</v>
      </c>
      <c r="O383" s="1" t="n">
        <v>9.989</v>
      </c>
      <c r="P383" s="1" t="n">
        <v>9.754</v>
      </c>
      <c r="Q383" s="1" t="n">
        <v>9.38</v>
      </c>
      <c r="R383" s="5" t="n">
        <v>-0.009885</v>
      </c>
      <c r="S383" s="1" t="n">
        <v>0.5</v>
      </c>
      <c r="T383" s="5" t="n">
        <v>8.13E-007</v>
      </c>
      <c r="U383" s="5" t="n">
        <v>2.64E-005</v>
      </c>
      <c r="V383" s="1" t="n">
        <v>0.2381</v>
      </c>
    </row>
    <row r="384" customFormat="false" ht="12.8" hidden="false" customHeight="false" outlineLevel="0" collapsed="false">
      <c r="A384" s="1" t="n">
        <v>11</v>
      </c>
      <c r="B384" s="4" t="s">
        <v>39</v>
      </c>
      <c r="C384" s="4" t="str">
        <f aca="false">IF(LEFT(E384,2)="S5","Spritz","Standard")</f>
        <v>Standard</v>
      </c>
      <c r="D384" s="4" t="n">
        <f aca="false">IF(RIGHT(E384,2)=".1",1,IF(RIGHT(E384,2)=".2",2,0))</f>
        <v>0</v>
      </c>
      <c r="E384" s="6" t="s">
        <v>40</v>
      </c>
      <c r="F384" s="1" t="s">
        <v>23</v>
      </c>
      <c r="G384" s="1" t="n">
        <v>298.1</v>
      </c>
      <c r="H384" s="1" t="n">
        <v>275.2</v>
      </c>
      <c r="I384" s="1" t="n">
        <v>23</v>
      </c>
      <c r="J384" s="1" t="n">
        <v>1</v>
      </c>
      <c r="K384" s="1" t="n">
        <v>0.100317</v>
      </c>
      <c r="L384" s="1" t="n">
        <v>0.06064</v>
      </c>
      <c r="M384" s="1" t="n">
        <v>60.45</v>
      </c>
      <c r="N384" s="1" t="n">
        <v>59.61</v>
      </c>
      <c r="O384" s="1" t="n">
        <v>9.996</v>
      </c>
      <c r="P384" s="1" t="n">
        <v>9.62</v>
      </c>
      <c r="Q384" s="1" t="n">
        <v>9.52</v>
      </c>
      <c r="R384" s="5" t="n">
        <v>-0.009885</v>
      </c>
      <c r="S384" s="1" t="n">
        <v>0.5</v>
      </c>
      <c r="T384" s="5" t="n">
        <v>1.016E-006</v>
      </c>
      <c r="U384" s="5" t="n">
        <v>3.344E-005</v>
      </c>
      <c r="V384" s="1" t="n">
        <v>0.123</v>
      </c>
    </row>
    <row r="385" customFormat="false" ht="12.8" hidden="false" customHeight="false" outlineLevel="0" collapsed="false">
      <c r="A385" s="1" t="n">
        <v>12</v>
      </c>
      <c r="B385" s="4" t="s">
        <v>39</v>
      </c>
      <c r="C385" s="4" t="str">
        <f aca="false">IF(LEFT(E385,2)="S5","Spritz","Standard")</f>
        <v>Standard</v>
      </c>
      <c r="D385" s="4" t="n">
        <f aca="false">IF(RIGHT(E385,2)=".1",1,IF(RIGHT(E385,2)=".2",2,0))</f>
        <v>0</v>
      </c>
      <c r="E385" s="6" t="s">
        <v>40</v>
      </c>
      <c r="F385" s="1" t="s">
        <v>23</v>
      </c>
      <c r="G385" s="1" t="n">
        <v>323.1</v>
      </c>
      <c r="H385" s="1" t="n">
        <v>300.2</v>
      </c>
      <c r="I385" s="1" t="n">
        <v>23</v>
      </c>
      <c r="J385" s="1" t="n">
        <v>1</v>
      </c>
      <c r="K385" s="1" t="n">
        <v>0.125729</v>
      </c>
      <c r="L385" s="1" t="n">
        <v>0.07508</v>
      </c>
      <c r="M385" s="1" t="n">
        <v>59.72</v>
      </c>
      <c r="N385" s="1" t="n">
        <v>58.86</v>
      </c>
      <c r="O385" s="1" t="n">
        <v>10.09</v>
      </c>
      <c r="P385" s="1" t="n">
        <v>9.504</v>
      </c>
      <c r="Q385" s="1" t="n">
        <v>9.73</v>
      </c>
      <c r="R385" s="1" t="n">
        <v>-0.0106</v>
      </c>
      <c r="S385" s="1" t="n">
        <v>0.5</v>
      </c>
      <c r="T385" s="5" t="n">
        <v>1.258E-006</v>
      </c>
      <c r="U385" s="5" t="n">
        <v>4.191E-005</v>
      </c>
      <c r="V385" s="1" t="n">
        <v>0.1748</v>
      </c>
    </row>
    <row r="386" customFormat="false" ht="12.8" hidden="false" customHeight="false" outlineLevel="0" collapsed="false">
      <c r="A386" s="1" t="n">
        <v>13</v>
      </c>
      <c r="B386" s="4" t="s">
        <v>39</v>
      </c>
      <c r="C386" s="4" t="str">
        <f aca="false">IF(LEFT(E386,2)="S5","Spritz","Standard")</f>
        <v>Standard</v>
      </c>
      <c r="D386" s="4" t="n">
        <f aca="false">IF(RIGHT(E386,2)=".1",1,IF(RIGHT(E386,2)=".2",2,0))</f>
        <v>0</v>
      </c>
      <c r="E386" s="6" t="s">
        <v>40</v>
      </c>
      <c r="F386" s="1" t="s">
        <v>23</v>
      </c>
      <c r="G386" s="1" t="n">
        <v>348.1</v>
      </c>
      <c r="H386" s="1" t="n">
        <v>325.2</v>
      </c>
      <c r="I386" s="1" t="n">
        <v>23</v>
      </c>
      <c r="J386" s="1" t="n">
        <v>1</v>
      </c>
      <c r="K386" s="1" t="n">
        <v>0.158909</v>
      </c>
      <c r="L386" s="1" t="n">
        <v>0.09285</v>
      </c>
      <c r="M386" s="1" t="n">
        <v>58.43</v>
      </c>
      <c r="N386" s="1" t="n">
        <v>57.56</v>
      </c>
      <c r="O386" s="1" t="n">
        <v>10.06</v>
      </c>
      <c r="P386" s="1" t="n">
        <v>9.299</v>
      </c>
      <c r="Q386" s="1" t="n">
        <v>9.92</v>
      </c>
      <c r="R386" s="1" t="n">
        <v>-0.01044</v>
      </c>
      <c r="S386" s="1" t="n">
        <v>0.5</v>
      </c>
      <c r="T386" s="5" t="n">
        <v>1.555E-006</v>
      </c>
      <c r="U386" s="5" t="n">
        <v>5.297E-005</v>
      </c>
      <c r="V386" s="1" t="n">
        <v>0.1338</v>
      </c>
    </row>
    <row r="387" customFormat="false" ht="12.8" hidden="false" customHeight="false" outlineLevel="0" collapsed="false">
      <c r="A387" s="1" t="n">
        <v>14</v>
      </c>
      <c r="B387" s="4" t="s">
        <v>39</v>
      </c>
      <c r="C387" s="4" t="str">
        <f aca="false">IF(LEFT(E387,2)="S5","Spritz","Standard")</f>
        <v>Standard</v>
      </c>
      <c r="D387" s="4" t="n">
        <f aca="false">IF(RIGHT(E387,2)=".1",1,IF(RIGHT(E387,2)=".2",2,0))</f>
        <v>0</v>
      </c>
      <c r="E387" s="6" t="s">
        <v>40</v>
      </c>
      <c r="F387" s="1" t="s">
        <v>23</v>
      </c>
      <c r="G387" s="1" t="n">
        <v>373.1</v>
      </c>
      <c r="H387" s="1" t="n">
        <v>350.2</v>
      </c>
      <c r="I387" s="1" t="n">
        <v>23</v>
      </c>
      <c r="J387" s="1" t="n">
        <v>1</v>
      </c>
      <c r="K387" s="1" t="n">
        <v>0.19913</v>
      </c>
      <c r="L387" s="1" t="n">
        <v>0.1137</v>
      </c>
      <c r="M387" s="1" t="n">
        <v>57.11</v>
      </c>
      <c r="N387" s="1" t="n">
        <v>56.22</v>
      </c>
      <c r="O387" s="1" t="n">
        <v>10.07</v>
      </c>
      <c r="P387" s="1" t="n">
        <v>9.089</v>
      </c>
      <c r="Q387" s="1" t="n">
        <v>10.16</v>
      </c>
      <c r="R387" s="1" t="n">
        <v>-0.01159</v>
      </c>
      <c r="S387" s="1" t="n">
        <v>0.5</v>
      </c>
      <c r="T387" s="5" t="n">
        <v>1.905E-006</v>
      </c>
      <c r="U387" s="5" t="n">
        <v>6.638E-005</v>
      </c>
      <c r="V387" s="1" t="n">
        <v>0.1809</v>
      </c>
    </row>
    <row r="388" customFormat="false" ht="12.8" hidden="false" customHeight="false" outlineLevel="0" collapsed="false">
      <c r="A388" s="1" t="n">
        <v>15</v>
      </c>
      <c r="B388" s="4" t="s">
        <v>39</v>
      </c>
      <c r="C388" s="4" t="str">
        <f aca="false">IF(LEFT(E388,2)="S5","Spritz","Standard")</f>
        <v>Standard</v>
      </c>
      <c r="D388" s="4" t="n">
        <f aca="false">IF(RIGHT(E388,2)=".1",1,IF(RIGHT(E388,2)=".2",2,0))</f>
        <v>0</v>
      </c>
      <c r="E388" s="6" t="s">
        <v>40</v>
      </c>
      <c r="F388" s="1" t="s">
        <v>23</v>
      </c>
      <c r="G388" s="1" t="n">
        <v>398.1</v>
      </c>
      <c r="H388" s="1" t="n">
        <v>375.2</v>
      </c>
      <c r="I388" s="1" t="n">
        <v>23</v>
      </c>
      <c r="J388" s="1" t="n">
        <v>1</v>
      </c>
      <c r="K388" s="1" t="n">
        <v>0.251981</v>
      </c>
      <c r="L388" s="1" t="n">
        <v>0.1403</v>
      </c>
      <c r="M388" s="1" t="n">
        <v>55.69</v>
      </c>
      <c r="N388" s="1" t="n">
        <v>54.75</v>
      </c>
      <c r="O388" s="1" t="n">
        <v>10.18</v>
      </c>
      <c r="P388" s="1" t="n">
        <v>8.863</v>
      </c>
      <c r="Q388" s="1" t="n">
        <v>10.53</v>
      </c>
      <c r="R388" s="1" t="n">
        <v>-0.01116</v>
      </c>
      <c r="S388" s="1" t="n">
        <v>0.5</v>
      </c>
      <c r="T388" s="5" t="n">
        <v>2.351E-006</v>
      </c>
      <c r="U388" s="5" t="n">
        <v>8.4E-005</v>
      </c>
      <c r="V388" s="1" t="n">
        <v>0.1834</v>
      </c>
    </row>
    <row r="389" customFormat="false" ht="12.8" hidden="false" customHeight="false" outlineLevel="0" collapsed="false">
      <c r="A389" s="1" t="n">
        <v>16</v>
      </c>
      <c r="B389" s="4" t="s">
        <v>39</v>
      </c>
      <c r="C389" s="4" t="str">
        <f aca="false">IF(LEFT(E389,2)="S5","Spritz","Standard")</f>
        <v>Standard</v>
      </c>
      <c r="D389" s="4" t="n">
        <f aca="false">IF(RIGHT(E389,2)=".1",1,IF(RIGHT(E389,2)=".2",2,0))</f>
        <v>0</v>
      </c>
      <c r="E389" s="6" t="s">
        <v>40</v>
      </c>
      <c r="F389" s="1" t="s">
        <v>23</v>
      </c>
      <c r="G389" s="1" t="n">
        <v>423.2</v>
      </c>
      <c r="H389" s="1" t="n">
        <v>400.3</v>
      </c>
      <c r="I389" s="1" t="n">
        <v>23</v>
      </c>
      <c r="J389" s="1" t="n">
        <v>1</v>
      </c>
      <c r="K389" s="1" t="n">
        <v>0.315493</v>
      </c>
      <c r="L389" s="1" t="n">
        <v>0.1698</v>
      </c>
      <c r="M389" s="1" t="n">
        <v>53.81</v>
      </c>
      <c r="N389" s="1" t="n">
        <v>52.83</v>
      </c>
      <c r="O389" s="1" t="n">
        <v>10.22</v>
      </c>
      <c r="P389" s="1" t="n">
        <v>8.564</v>
      </c>
      <c r="Q389" s="1" t="n">
        <v>10.95</v>
      </c>
      <c r="R389" s="1" t="n">
        <v>-0.01106</v>
      </c>
      <c r="S389" s="1" t="n">
        <v>0.5</v>
      </c>
      <c r="T389" s="5" t="n">
        <v>2.844E-006</v>
      </c>
      <c r="U389" s="5" t="n">
        <v>0.0001052</v>
      </c>
      <c r="V389" s="1" t="n">
        <v>0.1844</v>
      </c>
    </row>
    <row r="390" customFormat="false" ht="12.8" hidden="false" customHeight="false" outlineLevel="0" collapsed="false">
      <c r="A390" s="1" t="n">
        <v>17</v>
      </c>
      <c r="B390" s="4" t="s">
        <v>39</v>
      </c>
      <c r="C390" s="4" t="str">
        <f aca="false">IF(LEFT(E390,2)="S5","Spritz","Standard")</f>
        <v>Standard</v>
      </c>
      <c r="D390" s="4" t="n">
        <f aca="false">IF(RIGHT(E390,2)=".1",1,IF(RIGHT(E390,2)=".2",2,0))</f>
        <v>0</v>
      </c>
      <c r="E390" s="6" t="s">
        <v>40</v>
      </c>
      <c r="F390" s="1" t="s">
        <v>23</v>
      </c>
      <c r="G390" s="1" t="n">
        <v>448.2</v>
      </c>
      <c r="H390" s="1" t="n">
        <v>425.3</v>
      </c>
      <c r="I390" s="1" t="n">
        <v>23</v>
      </c>
      <c r="J390" s="1" t="n">
        <v>1</v>
      </c>
      <c r="K390" s="1" t="n">
        <v>0.39963</v>
      </c>
      <c r="L390" s="1" t="n">
        <v>0.2068</v>
      </c>
      <c r="M390" s="1" t="n">
        <v>51.75</v>
      </c>
      <c r="N390" s="1" t="n">
        <v>50.71</v>
      </c>
      <c r="O390" s="1" t="n">
        <v>10.28</v>
      </c>
      <c r="P390" s="1" t="n">
        <v>8.236</v>
      </c>
      <c r="Q390" s="1" t="n">
        <v>11.46</v>
      </c>
      <c r="R390" s="1" t="n">
        <v>-0.01192</v>
      </c>
      <c r="S390" s="1" t="n">
        <v>0.5</v>
      </c>
      <c r="T390" s="5" t="n">
        <v>3.464E-006</v>
      </c>
      <c r="U390" s="5" t="n">
        <v>0.0001332</v>
      </c>
      <c r="V390" s="1" t="n">
        <v>0.1701</v>
      </c>
    </row>
    <row r="391" customFormat="false" ht="12.8" hidden="false" customHeight="false" outlineLevel="0" collapsed="false">
      <c r="A391" s="1" t="n">
        <v>18</v>
      </c>
      <c r="B391" s="4" t="s">
        <v>39</v>
      </c>
      <c r="C391" s="4" t="str">
        <f aca="false">IF(LEFT(E391,2)="S5","Spritz","Standard")</f>
        <v>Standard</v>
      </c>
      <c r="D391" s="4" t="n">
        <f aca="false">IF(RIGHT(E391,2)=".1",1,IF(RIGHT(E391,2)=".2",2,0))</f>
        <v>0</v>
      </c>
      <c r="E391" s="6" t="s">
        <v>40</v>
      </c>
      <c r="F391" s="1" t="s">
        <v>23</v>
      </c>
      <c r="G391" s="1" t="n">
        <v>473.2</v>
      </c>
      <c r="H391" s="1" t="n">
        <v>450.3</v>
      </c>
      <c r="I391" s="1" t="n">
        <v>23</v>
      </c>
      <c r="J391" s="1" t="n">
        <v>1</v>
      </c>
      <c r="K391" s="1" t="n">
        <v>0.500882</v>
      </c>
      <c r="L391" s="1" t="n">
        <v>0.2474</v>
      </c>
      <c r="M391" s="1" t="n">
        <v>49.4</v>
      </c>
      <c r="N391" s="1" t="n">
        <v>48.31</v>
      </c>
      <c r="O391" s="1" t="n">
        <v>10.34</v>
      </c>
      <c r="P391" s="1" t="n">
        <v>7.863</v>
      </c>
      <c r="Q391" s="1" t="n">
        <v>12.08</v>
      </c>
      <c r="R391" s="1" t="n">
        <v>-0.01243</v>
      </c>
      <c r="S391" s="1" t="n">
        <v>0.5</v>
      </c>
      <c r="T391" s="5" t="n">
        <v>4.145E-006</v>
      </c>
      <c r="U391" s="5" t="n">
        <v>0.000167</v>
      </c>
      <c r="V391" s="1" t="n">
        <v>0.2174</v>
      </c>
    </row>
    <row r="392" customFormat="false" ht="12.8" hidden="false" customHeight="false" outlineLevel="0" collapsed="false">
      <c r="A392" s="1" t="n">
        <v>19</v>
      </c>
      <c r="B392" s="4" t="s">
        <v>39</v>
      </c>
      <c r="C392" s="4" t="str">
        <f aca="false">IF(LEFT(E392,2)="S5","Spritz","Standard")</f>
        <v>Standard</v>
      </c>
      <c r="D392" s="4" t="n">
        <f aca="false">IF(RIGHT(E392,2)=".1",1,IF(RIGHT(E392,2)=".2",2,0))</f>
        <v>0</v>
      </c>
      <c r="E392" s="6" t="s">
        <v>40</v>
      </c>
      <c r="F392" s="1" t="s">
        <v>23</v>
      </c>
      <c r="G392" s="1" t="n">
        <v>498.2</v>
      </c>
      <c r="H392" s="1" t="n">
        <v>475.3</v>
      </c>
      <c r="I392" s="1" t="n">
        <v>23</v>
      </c>
      <c r="J392" s="1" t="n">
        <v>1</v>
      </c>
      <c r="K392" s="1" t="n">
        <v>0.632427</v>
      </c>
      <c r="L392" s="1" t="n">
        <v>0.2953</v>
      </c>
      <c r="M392" s="1" t="n">
        <v>46.7</v>
      </c>
      <c r="N392" s="1" t="n">
        <v>45.52</v>
      </c>
      <c r="O392" s="1" t="n">
        <v>10.44</v>
      </c>
      <c r="P392" s="1" t="n">
        <v>7.433</v>
      </c>
      <c r="Q392" s="1" t="n">
        <v>12.92</v>
      </c>
      <c r="R392" s="1" t="n">
        <v>-0.01222</v>
      </c>
      <c r="S392" s="1" t="n">
        <v>0.5</v>
      </c>
      <c r="T392" s="5" t="n">
        <v>4.948E-006</v>
      </c>
      <c r="U392" s="5" t="n">
        <v>0.0002108</v>
      </c>
      <c r="V392" s="1" t="n">
        <v>0.284</v>
      </c>
    </row>
    <row r="393" customFormat="false" ht="12.8" hidden="false" customHeight="false" outlineLevel="0" collapsed="false">
      <c r="A393" s="1" t="n">
        <v>20</v>
      </c>
      <c r="B393" s="4" t="s">
        <v>39</v>
      </c>
      <c r="C393" s="4" t="str">
        <f aca="false">IF(LEFT(E393,2)="S5","Spritz","Standard")</f>
        <v>Standard</v>
      </c>
      <c r="D393" s="4" t="n">
        <f aca="false">IF(RIGHT(E393,2)=".1",1,IF(RIGHT(E393,2)=".2",2,0))</f>
        <v>0</v>
      </c>
      <c r="E393" s="6" t="s">
        <v>40</v>
      </c>
      <c r="F393" s="1" t="s">
        <v>23</v>
      </c>
      <c r="G393" s="1" t="n">
        <v>523.2</v>
      </c>
      <c r="H393" s="1" t="n">
        <v>500.3</v>
      </c>
      <c r="I393" s="1" t="n">
        <v>23</v>
      </c>
      <c r="J393" s="1" t="n">
        <v>1</v>
      </c>
      <c r="K393" s="1" t="n">
        <v>0.795145</v>
      </c>
      <c r="L393" s="1" t="n">
        <v>0.3472</v>
      </c>
      <c r="M393" s="1" t="n">
        <v>43.67</v>
      </c>
      <c r="N393" s="1" t="n">
        <v>42.38</v>
      </c>
      <c r="O393" s="1" t="n">
        <v>10.51</v>
      </c>
      <c r="P393" s="1" t="n">
        <v>6.95</v>
      </c>
      <c r="Q393" s="1" t="n">
        <v>13.92</v>
      </c>
      <c r="R393" s="1" t="n">
        <v>-0.01154</v>
      </c>
      <c r="S393" s="1" t="n">
        <v>0.5</v>
      </c>
      <c r="T393" s="5" t="n">
        <v>5.817E-006</v>
      </c>
      <c r="U393" s="5" t="n">
        <v>0.0002651</v>
      </c>
      <c r="V393" s="1" t="n">
        <v>0.3568</v>
      </c>
    </row>
    <row r="394" customFormat="false" ht="12.8" hidden="false" customHeight="false" outlineLevel="0" collapsed="false">
      <c r="A394" s="1" t="n">
        <v>21</v>
      </c>
      <c r="B394" s="4" t="s">
        <v>39</v>
      </c>
      <c r="C394" s="4" t="str">
        <f aca="false">IF(LEFT(E394,2)="S5","Spritz","Standard")</f>
        <v>Standard</v>
      </c>
      <c r="D394" s="4" t="n">
        <f aca="false">IF(RIGHT(E394,2)=".1",1,IF(RIGHT(E394,2)=".2",2,0))</f>
        <v>0</v>
      </c>
      <c r="E394" s="6" t="s">
        <v>40</v>
      </c>
      <c r="F394" s="1" t="s">
        <v>23</v>
      </c>
      <c r="G394" s="1" t="n">
        <v>548.2</v>
      </c>
      <c r="H394" s="1" t="n">
        <v>525.3</v>
      </c>
      <c r="I394" s="1" t="n">
        <v>23</v>
      </c>
      <c r="J394" s="1" t="n">
        <v>1</v>
      </c>
      <c r="K394" s="1" t="n">
        <v>1.00097</v>
      </c>
      <c r="L394" s="1" t="n">
        <v>0.4037</v>
      </c>
      <c r="M394" s="1" t="n">
        <v>40.33</v>
      </c>
      <c r="N394" s="1" t="n">
        <v>38.96</v>
      </c>
      <c r="O394" s="1" t="n">
        <v>10.43</v>
      </c>
      <c r="P394" s="1" t="n">
        <v>6.419</v>
      </c>
      <c r="Q394" s="1" t="n">
        <v>14.98</v>
      </c>
      <c r="R394" s="1" t="n">
        <v>-0.01259</v>
      </c>
      <c r="S394" s="1" t="n">
        <v>0.5</v>
      </c>
      <c r="T394" s="5" t="n">
        <v>6.763E-006</v>
      </c>
      <c r="U394" s="5" t="n">
        <v>0.0003337</v>
      </c>
      <c r="V394" s="1" t="n">
        <v>0.3995</v>
      </c>
    </row>
    <row r="395" customFormat="false" ht="12.8" hidden="false" customHeight="false" outlineLevel="0" collapsed="false">
      <c r="A395" s="1" t="n">
        <v>22</v>
      </c>
      <c r="B395" s="4" t="s">
        <v>39</v>
      </c>
      <c r="C395" s="4" t="str">
        <f aca="false">IF(LEFT(E395,2)="S5","Spritz","Standard")</f>
        <v>Standard</v>
      </c>
      <c r="D395" s="4" t="n">
        <f aca="false">IF(RIGHT(E395,2)=".1",1,IF(RIGHT(E395,2)=".2",2,0))</f>
        <v>0</v>
      </c>
      <c r="E395" s="6" t="s">
        <v>40</v>
      </c>
      <c r="F395" s="1" t="s">
        <v>23</v>
      </c>
      <c r="G395" s="1" t="n">
        <v>573.2</v>
      </c>
      <c r="H395" s="1" t="n">
        <v>550.3</v>
      </c>
      <c r="I395" s="1" t="n">
        <v>23</v>
      </c>
      <c r="J395" s="1" t="n">
        <v>1</v>
      </c>
      <c r="K395" s="1" t="n">
        <v>1.26203</v>
      </c>
      <c r="L395" s="1" t="n">
        <v>0.4681</v>
      </c>
      <c r="M395" s="1" t="n">
        <v>37.09</v>
      </c>
      <c r="N395" s="1" t="n">
        <v>35.63</v>
      </c>
      <c r="O395" s="1" t="n">
        <v>10.28</v>
      </c>
      <c r="P395" s="1" t="n">
        <v>5.903</v>
      </c>
      <c r="Q395" s="1" t="n">
        <v>16.1</v>
      </c>
      <c r="R395" s="1" t="n">
        <v>-0.01297</v>
      </c>
      <c r="S395" s="1" t="n">
        <v>0.5</v>
      </c>
      <c r="T395" s="5" t="n">
        <v>7.841E-006</v>
      </c>
      <c r="U395" s="5" t="n">
        <v>0.0004207</v>
      </c>
      <c r="V395" s="1" t="n">
        <v>0.5621</v>
      </c>
    </row>
    <row r="396" customFormat="false" ht="12.8" hidden="false" customHeight="false" outlineLevel="0" collapsed="false">
      <c r="A396" s="1" t="n">
        <v>23</v>
      </c>
      <c r="B396" s="4" t="s">
        <v>39</v>
      </c>
      <c r="C396" s="4" t="str">
        <f aca="false">IF(LEFT(E396,2)="S5","Spritz","Standard")</f>
        <v>Standard</v>
      </c>
      <c r="D396" s="4" t="n">
        <f aca="false">IF(RIGHT(E396,2)=".1",1,IF(RIGHT(E396,2)=".2",2,0))</f>
        <v>0</v>
      </c>
      <c r="E396" s="6" t="s">
        <v>40</v>
      </c>
      <c r="F396" s="1" t="s">
        <v>23</v>
      </c>
      <c r="G396" s="1" t="n">
        <v>598.2</v>
      </c>
      <c r="H396" s="1" t="n">
        <v>575.3</v>
      </c>
      <c r="I396" s="1" t="n">
        <v>23</v>
      </c>
      <c r="J396" s="1" t="n">
        <v>1</v>
      </c>
      <c r="K396" s="1" t="n">
        <v>1.58692</v>
      </c>
      <c r="L396" s="1" t="n">
        <v>0.5281</v>
      </c>
      <c r="M396" s="1" t="n">
        <v>33.28</v>
      </c>
      <c r="N396" s="1" t="n">
        <v>31.76</v>
      </c>
      <c r="O396" s="1" t="n">
        <v>9.923</v>
      </c>
      <c r="P396" s="1" t="n">
        <v>5.296</v>
      </c>
      <c r="Q396" s="1" t="n">
        <v>17.35</v>
      </c>
      <c r="R396" s="1" t="n">
        <v>-0.01371</v>
      </c>
      <c r="S396" s="1" t="n">
        <v>0.5</v>
      </c>
      <c r="T396" s="5" t="n">
        <v>8.847E-006</v>
      </c>
      <c r="U396" s="5" t="n">
        <v>0.000529</v>
      </c>
      <c r="V396" s="1" t="n">
        <v>0.777</v>
      </c>
    </row>
    <row r="397" customFormat="false" ht="12.8" hidden="false" customHeight="false" outlineLevel="0" collapsed="false">
      <c r="A397" s="1" t="n">
        <v>24</v>
      </c>
      <c r="B397" s="4" t="s">
        <v>39</v>
      </c>
      <c r="C397" s="4" t="str">
        <f aca="false">IF(LEFT(E397,2)="S5","Spritz","Standard")</f>
        <v>Standard</v>
      </c>
      <c r="D397" s="4" t="n">
        <f aca="false">IF(RIGHT(E397,2)=".1",1,IF(RIGHT(E397,2)=".2",2,0))</f>
        <v>0</v>
      </c>
      <c r="E397" s="6" t="s">
        <v>40</v>
      </c>
      <c r="F397" s="1" t="s">
        <v>23</v>
      </c>
      <c r="G397" s="1" t="n">
        <v>623.2</v>
      </c>
      <c r="H397" s="1" t="n">
        <v>600.3</v>
      </c>
      <c r="I397" s="1" t="n">
        <v>23</v>
      </c>
      <c r="J397" s="1" t="n">
        <v>1</v>
      </c>
      <c r="K397" s="1" t="n">
        <v>2.006</v>
      </c>
      <c r="L397" s="1" t="n">
        <v>0.5743</v>
      </c>
      <c r="M397" s="1" t="n">
        <v>28.63</v>
      </c>
      <c r="N397" s="1" t="n">
        <v>27.14</v>
      </c>
      <c r="O397" s="1" t="n">
        <v>9.115</v>
      </c>
      <c r="P397" s="1" t="n">
        <v>4.557</v>
      </c>
      <c r="Q397" s="1" t="n">
        <v>18.56</v>
      </c>
      <c r="R397" s="1" t="n">
        <v>-0.01373</v>
      </c>
      <c r="S397" s="1" t="n">
        <v>0.5</v>
      </c>
      <c r="T397" s="5" t="n">
        <v>9.622E-006</v>
      </c>
      <c r="U397" s="5" t="n">
        <v>0.0006687</v>
      </c>
      <c r="V397" s="1" t="n">
        <v>1.089</v>
      </c>
    </row>
    <row r="398" customFormat="false" ht="12.8" hidden="false" customHeight="false" outlineLevel="0" collapsed="false">
      <c r="A398" s="1" t="n">
        <v>25</v>
      </c>
      <c r="B398" s="4" t="s">
        <v>39</v>
      </c>
      <c r="C398" s="4" t="str">
        <f aca="false">IF(LEFT(E398,2)="S5","Spritz","Standard")</f>
        <v>Standard</v>
      </c>
      <c r="D398" s="4" t="n">
        <f aca="false">IF(RIGHT(E398,2)=".1",1,IF(RIGHT(E398,2)=".2",2,0))</f>
        <v>0</v>
      </c>
      <c r="E398" s="6" t="s">
        <v>40</v>
      </c>
      <c r="F398" s="1" t="s">
        <v>23</v>
      </c>
      <c r="G398" s="1" t="n">
        <v>648.3</v>
      </c>
      <c r="H398" s="1" t="n">
        <v>625.3</v>
      </c>
      <c r="I398" s="1" t="n">
        <v>23</v>
      </c>
      <c r="J398" s="1" t="n">
        <v>1</v>
      </c>
      <c r="K398" s="1" t="n">
        <v>2.5164</v>
      </c>
      <c r="L398" s="1" t="n">
        <v>0.6189</v>
      </c>
      <c r="M398" s="1" t="n">
        <v>24.59</v>
      </c>
      <c r="N398" s="1" t="n">
        <v>23.25</v>
      </c>
      <c r="O398" s="1" t="n">
        <v>8.011</v>
      </c>
      <c r="P398" s="1" t="n">
        <v>3.914</v>
      </c>
      <c r="Q398" s="1" t="n">
        <v>19.01</v>
      </c>
      <c r="R398" s="1" t="n">
        <v>-0.01477</v>
      </c>
      <c r="S398" s="1" t="n">
        <v>0.5</v>
      </c>
      <c r="T398" s="5" t="n">
        <v>1.037E-005</v>
      </c>
      <c r="U398" s="5" t="n">
        <v>0.0008388</v>
      </c>
      <c r="V398" s="1" t="n">
        <v>1.373</v>
      </c>
    </row>
    <row r="399" customFormat="false" ht="12.8" hidden="false" customHeight="false" outlineLevel="0" collapsed="false">
      <c r="A399" s="1" t="n">
        <v>26</v>
      </c>
      <c r="B399" s="4" t="s">
        <v>39</v>
      </c>
      <c r="C399" s="4" t="str">
        <f aca="false">IF(LEFT(E399,2)="S5","Spritz","Standard")</f>
        <v>Standard</v>
      </c>
      <c r="D399" s="4" t="n">
        <f aca="false">IF(RIGHT(E399,2)=".1",1,IF(RIGHT(E399,2)=".2",2,0))</f>
        <v>0</v>
      </c>
      <c r="E399" s="6" t="s">
        <v>40</v>
      </c>
      <c r="F399" s="1" t="s">
        <v>23</v>
      </c>
      <c r="G399" s="1" t="n">
        <v>673.3</v>
      </c>
      <c r="H399" s="1" t="n">
        <v>650.4</v>
      </c>
      <c r="I399" s="1" t="n">
        <v>23</v>
      </c>
      <c r="J399" s="1" t="n">
        <v>1</v>
      </c>
      <c r="K399" s="1" t="n">
        <v>3.17501</v>
      </c>
      <c r="L399" s="1" t="n">
        <v>0.6693</v>
      </c>
      <c r="M399" s="1" t="n">
        <v>21.08</v>
      </c>
      <c r="N399" s="1" t="n">
        <v>19.8</v>
      </c>
      <c r="O399" s="1" t="n">
        <v>7.222</v>
      </c>
      <c r="P399" s="1" t="n">
        <v>3.355</v>
      </c>
      <c r="Q399" s="1" t="n">
        <v>20.04</v>
      </c>
      <c r="R399" s="1" t="n">
        <v>-0.01444</v>
      </c>
      <c r="S399" s="1" t="n">
        <v>0.5</v>
      </c>
      <c r="T399" s="5" t="n">
        <v>1.121E-005</v>
      </c>
      <c r="U399" s="5" t="n">
        <v>0.001058</v>
      </c>
      <c r="V399" s="1" t="n">
        <v>1.748</v>
      </c>
    </row>
    <row r="400" customFormat="false" ht="12.8" hidden="false" customHeight="false" outlineLevel="0" collapsed="false">
      <c r="A400" s="1" t="n">
        <v>27</v>
      </c>
      <c r="B400" s="4" t="s">
        <v>39</v>
      </c>
      <c r="C400" s="4" t="str">
        <f aca="false">IF(LEFT(E400,2)="S5","Spritz","Standard")</f>
        <v>Standard</v>
      </c>
      <c r="D400" s="4" t="n">
        <f aca="false">IF(RIGHT(E400,2)=".1",1,IF(RIGHT(E400,2)=".2",2,0))</f>
        <v>0</v>
      </c>
      <c r="E400" s="6" t="s">
        <v>40</v>
      </c>
      <c r="F400" s="1" t="s">
        <v>23</v>
      </c>
      <c r="G400" s="1" t="n">
        <v>698.3</v>
      </c>
      <c r="H400" s="1" t="n">
        <v>675.4</v>
      </c>
      <c r="I400" s="1" t="n">
        <v>23</v>
      </c>
      <c r="J400" s="1" t="n">
        <v>1</v>
      </c>
      <c r="K400" s="1" t="n">
        <v>3.9912</v>
      </c>
      <c r="L400" s="1" t="n">
        <v>0.6975</v>
      </c>
      <c r="M400" s="1" t="n">
        <v>17.48</v>
      </c>
      <c r="N400" s="1" t="n">
        <v>16.29</v>
      </c>
      <c r="O400" s="1" t="n">
        <v>6.342</v>
      </c>
      <c r="P400" s="1" t="n">
        <v>2.782</v>
      </c>
      <c r="Q400" s="1" t="n">
        <v>21.28</v>
      </c>
      <c r="R400" s="1" t="n">
        <v>-0.01433</v>
      </c>
      <c r="S400" s="1" t="n">
        <v>0.5</v>
      </c>
      <c r="T400" s="5" t="n">
        <v>1.169E-005</v>
      </c>
      <c r="U400" s="5" t="n">
        <v>0.00133</v>
      </c>
      <c r="V400" s="1" t="n">
        <v>2.675</v>
      </c>
    </row>
    <row r="401" customFormat="false" ht="12.8" hidden="false" customHeight="false" outlineLevel="0" collapsed="false">
      <c r="A401" s="1" t="n">
        <v>28</v>
      </c>
      <c r="B401" s="4" t="s">
        <v>39</v>
      </c>
      <c r="C401" s="4" t="str">
        <f aca="false">IF(LEFT(E401,2)="S5","Spritz","Standard")</f>
        <v>Standard</v>
      </c>
      <c r="D401" s="4" t="n">
        <f aca="false">IF(RIGHT(E401,2)=".1",1,IF(RIGHT(E401,2)=".2",2,0))</f>
        <v>0</v>
      </c>
      <c r="E401" s="6" t="s">
        <v>40</v>
      </c>
      <c r="F401" s="1" t="s">
        <v>23</v>
      </c>
      <c r="G401" s="1" t="n">
        <v>723.3</v>
      </c>
      <c r="H401" s="1" t="n">
        <v>700.4</v>
      </c>
      <c r="I401" s="1" t="n">
        <v>23</v>
      </c>
      <c r="J401" s="1" t="n">
        <v>1</v>
      </c>
      <c r="K401" s="1" t="n">
        <v>5.03178</v>
      </c>
      <c r="L401" s="1" t="n">
        <v>0.7387</v>
      </c>
      <c r="M401" s="1" t="n">
        <v>14.68</v>
      </c>
      <c r="N401" s="1" t="n">
        <v>13.54</v>
      </c>
      <c r="O401" s="1" t="n">
        <v>5.663</v>
      </c>
      <c r="P401" s="1" t="n">
        <v>2.336</v>
      </c>
      <c r="Q401" s="1" t="n">
        <v>22.69</v>
      </c>
      <c r="R401" s="1" t="n">
        <v>-0.01471</v>
      </c>
      <c r="S401" s="1" t="n">
        <v>0.5</v>
      </c>
      <c r="T401" s="5" t="n">
        <v>1.237E-005</v>
      </c>
      <c r="U401" s="5" t="n">
        <v>0.001677</v>
      </c>
      <c r="V401" s="1" t="n">
        <v>3.392</v>
      </c>
    </row>
    <row r="402" customFormat="false" ht="12.8" hidden="false" customHeight="false" outlineLevel="0" collapsed="false">
      <c r="A402" s="1" t="n">
        <v>29</v>
      </c>
      <c r="B402" s="4" t="s">
        <v>39</v>
      </c>
      <c r="C402" s="4" t="str">
        <f aca="false">IF(LEFT(E402,2)="S5","Spritz","Standard")</f>
        <v>Standard</v>
      </c>
      <c r="D402" s="4" t="n">
        <f aca="false">IF(RIGHT(E402,2)=".1",1,IF(RIGHT(E402,2)=".2",2,0))</f>
        <v>0</v>
      </c>
      <c r="E402" s="6" t="s">
        <v>40</v>
      </c>
      <c r="F402" s="1" t="s">
        <v>23</v>
      </c>
      <c r="G402" s="1" t="n">
        <v>748.3</v>
      </c>
      <c r="H402" s="1" t="n">
        <v>725.4</v>
      </c>
      <c r="I402" s="1" t="n">
        <v>23</v>
      </c>
      <c r="J402" s="1" t="n">
        <v>1</v>
      </c>
      <c r="K402" s="1" t="n">
        <v>6.34306</v>
      </c>
      <c r="L402" s="1" t="n">
        <v>0.7542</v>
      </c>
      <c r="M402" s="1" t="n">
        <v>11.89</v>
      </c>
      <c r="N402" s="1" t="n">
        <v>10.77</v>
      </c>
      <c r="O402" s="1" t="n">
        <v>5.036</v>
      </c>
      <c r="P402" s="1" t="n">
        <v>1.892</v>
      </c>
      <c r="Q402" s="1" t="n">
        <v>25.06</v>
      </c>
      <c r="R402" s="1" t="n">
        <v>-0.01449</v>
      </c>
      <c r="S402" s="1" t="n">
        <v>0.5</v>
      </c>
      <c r="T402" s="5" t="n">
        <v>1.264E-005</v>
      </c>
      <c r="U402" s="5" t="n">
        <v>0.002114</v>
      </c>
      <c r="V402" s="1" t="n">
        <v>4.656</v>
      </c>
    </row>
    <row r="403" customFormat="false" ht="12.8" hidden="false" customHeight="false" outlineLevel="0" collapsed="false">
      <c r="A403" s="1" t="n">
        <v>30</v>
      </c>
      <c r="B403" s="4" t="s">
        <v>39</v>
      </c>
      <c r="C403" s="4" t="str">
        <f aca="false">IF(LEFT(E403,2)="S5","Spritz","Standard")</f>
        <v>Standard</v>
      </c>
      <c r="D403" s="4" t="n">
        <f aca="false">IF(RIGHT(E403,2)=".1",1,IF(RIGHT(E403,2)=".2",2,0))</f>
        <v>0</v>
      </c>
      <c r="E403" s="6" t="s">
        <v>40</v>
      </c>
      <c r="F403" s="1" t="s">
        <v>23</v>
      </c>
      <c r="G403" s="1" t="n">
        <v>773.3</v>
      </c>
      <c r="H403" s="1" t="n">
        <v>750.4</v>
      </c>
      <c r="I403" s="1" t="n">
        <v>23</v>
      </c>
      <c r="J403" s="1" t="n">
        <v>1</v>
      </c>
      <c r="K403" s="1" t="n">
        <v>7.97294</v>
      </c>
      <c r="L403" s="1" t="n">
        <v>0.7518</v>
      </c>
      <c r="M403" s="1" t="n">
        <v>9.43</v>
      </c>
      <c r="N403" s="1" t="n">
        <v>8.346</v>
      </c>
      <c r="O403" s="1" t="n">
        <v>4.389</v>
      </c>
      <c r="P403" s="1" t="n">
        <v>1.501</v>
      </c>
      <c r="Q403" s="1" t="n">
        <v>27.74</v>
      </c>
      <c r="R403" s="1" t="n">
        <v>-0.01622</v>
      </c>
      <c r="S403" s="1" t="n">
        <v>0.5</v>
      </c>
      <c r="T403" s="5" t="n">
        <v>1.259E-005</v>
      </c>
      <c r="U403" s="5" t="n">
        <v>0.002658</v>
      </c>
      <c r="V403" s="1" t="n">
        <v>5.215</v>
      </c>
    </row>
    <row r="404" customFormat="false" ht="12.8" hidden="false" customHeight="false" outlineLevel="0" collapsed="false">
      <c r="A404" s="1" t="n">
        <v>31</v>
      </c>
      <c r="B404" s="4" t="s">
        <v>39</v>
      </c>
      <c r="C404" s="4" t="str">
        <f aca="false">IF(LEFT(E404,2)="S5","Spritz","Standard")</f>
        <v>Standard</v>
      </c>
      <c r="D404" s="4" t="n">
        <f aca="false">IF(RIGHT(E404,2)=".1",1,IF(RIGHT(E404,2)=".2",2,0))</f>
        <v>0</v>
      </c>
      <c r="E404" s="6" t="s">
        <v>40</v>
      </c>
      <c r="F404" s="1" t="s">
        <v>23</v>
      </c>
      <c r="G404" s="1" t="n">
        <v>798.3</v>
      </c>
      <c r="H404" s="1" t="n">
        <v>775.4</v>
      </c>
      <c r="I404" s="1" t="n">
        <v>23</v>
      </c>
      <c r="J404" s="1" t="n">
        <v>1</v>
      </c>
      <c r="K404" s="1" t="n">
        <v>10.0238</v>
      </c>
      <c r="L404" s="1" t="n">
        <v>0.7919</v>
      </c>
      <c r="M404" s="1" t="n">
        <v>7.901</v>
      </c>
      <c r="N404" s="1" t="n">
        <v>6.805</v>
      </c>
      <c r="O404" s="1" t="n">
        <v>4.015</v>
      </c>
      <c r="P404" s="1" t="n">
        <v>1.257</v>
      </c>
      <c r="Q404" s="1" t="n">
        <v>30.54</v>
      </c>
      <c r="R404" s="1" t="n">
        <v>-0.01608</v>
      </c>
      <c r="S404" s="1" t="n">
        <v>0.5</v>
      </c>
      <c r="T404" s="5" t="n">
        <v>1.327E-005</v>
      </c>
      <c r="U404" s="5" t="n">
        <v>0.003341</v>
      </c>
      <c r="V404" s="1" t="n">
        <v>6.228</v>
      </c>
    </row>
    <row r="405" customFormat="false" ht="12.8" hidden="false" customHeight="false" outlineLevel="0" collapsed="false">
      <c r="A405" s="1" t="n">
        <v>1</v>
      </c>
      <c r="B405" s="4" t="s">
        <v>39</v>
      </c>
      <c r="C405" s="4" t="str">
        <f aca="false">IF(LEFT(E405,2)="S5","Spritz","Standard")</f>
        <v>Standard</v>
      </c>
      <c r="D405" s="4" t="n">
        <v>1</v>
      </c>
      <c r="E405" s="6" t="s">
        <v>41</v>
      </c>
      <c r="F405" s="1" t="s">
        <v>23</v>
      </c>
      <c r="G405" s="1" t="n">
        <v>37.43</v>
      </c>
      <c r="H405" s="1" t="n">
        <v>25</v>
      </c>
      <c r="I405" s="1" t="n">
        <v>23.05</v>
      </c>
      <c r="J405" s="1" t="n">
        <v>1</v>
      </c>
      <c r="K405" s="5" t="n">
        <v>0.00929182</v>
      </c>
      <c r="L405" s="5" t="n">
        <v>0.002137</v>
      </c>
      <c r="M405" s="1" t="n">
        <v>23</v>
      </c>
      <c r="N405" s="1" t="n">
        <v>21.9</v>
      </c>
      <c r="O405" s="1" t="n">
        <v>7</v>
      </c>
      <c r="P405" s="1" t="n">
        <v>3.66</v>
      </c>
      <c r="Q405" s="1" t="n">
        <v>17.72</v>
      </c>
      <c r="R405" s="1" t="n">
        <v>-0.1639</v>
      </c>
      <c r="S405" s="1" t="n">
        <v>0.5</v>
      </c>
      <c r="T405" s="5" t="n">
        <v>3.58E-008</v>
      </c>
      <c r="U405" s="5" t="n">
        <v>3.097E-006</v>
      </c>
      <c r="V405" s="1" t="n">
        <v>7.225</v>
      </c>
    </row>
    <row r="406" customFormat="false" ht="12.8" hidden="false" customHeight="false" outlineLevel="0" collapsed="false">
      <c r="A406" s="1" t="n">
        <v>2</v>
      </c>
      <c r="B406" s="4" t="s">
        <v>39</v>
      </c>
      <c r="C406" s="4" t="str">
        <f aca="false">IF(LEFT(E406,2)="S5","Spritz","Standard")</f>
        <v>Standard</v>
      </c>
      <c r="D406" s="4" t="n">
        <v>1</v>
      </c>
      <c r="E406" s="6" t="s">
        <v>41</v>
      </c>
      <c r="F406" s="1" t="s">
        <v>23</v>
      </c>
      <c r="G406" s="1" t="n">
        <v>62.44</v>
      </c>
      <c r="H406" s="1" t="n">
        <v>50.01</v>
      </c>
      <c r="I406" s="1" t="n">
        <v>23.04</v>
      </c>
      <c r="J406" s="1" t="n">
        <v>1</v>
      </c>
      <c r="K406" s="1" t="n">
        <v>0.0122273</v>
      </c>
      <c r="L406" s="5" t="n">
        <v>0.002794</v>
      </c>
      <c r="M406" s="1" t="n">
        <v>22.85</v>
      </c>
      <c r="N406" s="1" t="n">
        <v>21.62</v>
      </c>
      <c r="O406" s="1" t="n">
        <v>7.407</v>
      </c>
      <c r="P406" s="1" t="n">
        <v>3.637</v>
      </c>
      <c r="Q406" s="1" t="n">
        <v>18.91</v>
      </c>
      <c r="R406" s="1" t="n">
        <v>-0.1658</v>
      </c>
      <c r="S406" s="1" t="n">
        <v>0.5</v>
      </c>
      <c r="T406" s="5" t="n">
        <v>4.681E-008</v>
      </c>
      <c r="U406" s="5" t="n">
        <v>4.076E-006</v>
      </c>
      <c r="V406" s="1" t="n">
        <v>3.331</v>
      </c>
    </row>
    <row r="407" customFormat="false" ht="12.8" hidden="false" customHeight="false" outlineLevel="0" collapsed="false">
      <c r="A407" s="1" t="n">
        <v>3</v>
      </c>
      <c r="B407" s="4" t="s">
        <v>39</v>
      </c>
      <c r="C407" s="4" t="str">
        <f aca="false">IF(LEFT(E407,2)="S5","Spritz","Standard")</f>
        <v>Standard</v>
      </c>
      <c r="D407" s="4" t="n">
        <v>1</v>
      </c>
      <c r="E407" s="6" t="s">
        <v>41</v>
      </c>
      <c r="F407" s="1" t="s">
        <v>23</v>
      </c>
      <c r="G407" s="1" t="n">
        <v>87.44</v>
      </c>
      <c r="H407" s="1" t="n">
        <v>75.01</v>
      </c>
      <c r="I407" s="1" t="n">
        <v>23.03</v>
      </c>
      <c r="J407" s="1" t="n">
        <v>1</v>
      </c>
      <c r="K407" s="1" t="n">
        <v>0.016674</v>
      </c>
      <c r="L407" s="5" t="n">
        <v>0.0038</v>
      </c>
      <c r="M407" s="1" t="n">
        <v>22.79</v>
      </c>
      <c r="N407" s="1" t="n">
        <v>21.81</v>
      </c>
      <c r="O407" s="1" t="n">
        <v>6.592</v>
      </c>
      <c r="P407" s="1" t="n">
        <v>3.627</v>
      </c>
      <c r="Q407" s="1" t="n">
        <v>16.81</v>
      </c>
      <c r="R407" s="1" t="n">
        <v>-0.1674</v>
      </c>
      <c r="S407" s="1" t="n">
        <v>0.5</v>
      </c>
      <c r="T407" s="5" t="n">
        <v>6.366E-008</v>
      </c>
      <c r="U407" s="5" t="n">
        <v>5.558E-006</v>
      </c>
      <c r="V407" s="1" t="n">
        <v>3.25</v>
      </c>
    </row>
    <row r="408" customFormat="false" ht="12.8" hidden="false" customHeight="false" outlineLevel="0" collapsed="false">
      <c r="A408" s="1" t="n">
        <v>4</v>
      </c>
      <c r="B408" s="4" t="s">
        <v>39</v>
      </c>
      <c r="C408" s="4" t="str">
        <f aca="false">IF(LEFT(E408,2)="S5","Spritz","Standard")</f>
        <v>Standard</v>
      </c>
      <c r="D408" s="4" t="n">
        <v>1</v>
      </c>
      <c r="E408" s="6" t="s">
        <v>41</v>
      </c>
      <c r="F408" s="1" t="s">
        <v>23</v>
      </c>
      <c r="G408" s="1" t="n">
        <v>112.4</v>
      </c>
      <c r="H408" s="1" t="n">
        <v>100</v>
      </c>
      <c r="I408" s="1" t="n">
        <v>23.02</v>
      </c>
      <c r="J408" s="1" t="n">
        <v>1</v>
      </c>
      <c r="K408" s="1" t="n">
        <v>0.0195563</v>
      </c>
      <c r="L408" s="5" t="n">
        <v>0.004517</v>
      </c>
      <c r="M408" s="1" t="n">
        <v>23.1</v>
      </c>
      <c r="N408" s="1" t="n">
        <v>22.26</v>
      </c>
      <c r="O408" s="1" t="n">
        <v>6.185</v>
      </c>
      <c r="P408" s="1" t="n">
        <v>3.676</v>
      </c>
      <c r="Q408" s="1" t="n">
        <v>15.53</v>
      </c>
      <c r="R408" s="1" t="n">
        <v>-0.167</v>
      </c>
      <c r="S408" s="1" t="n">
        <v>0.5</v>
      </c>
      <c r="T408" s="5" t="n">
        <v>7.568E-008</v>
      </c>
      <c r="U408" s="5" t="n">
        <v>6.519E-006</v>
      </c>
      <c r="V408" s="1" t="n">
        <v>3.403</v>
      </c>
    </row>
    <row r="409" customFormat="false" ht="12.8" hidden="false" customHeight="false" outlineLevel="0" collapsed="false">
      <c r="A409" s="1" t="n">
        <v>5</v>
      </c>
      <c r="B409" s="4" t="s">
        <v>39</v>
      </c>
      <c r="C409" s="4" t="str">
        <f aca="false">IF(LEFT(E409,2)="S5","Spritz","Standard")</f>
        <v>Standard</v>
      </c>
      <c r="D409" s="4" t="n">
        <v>1</v>
      </c>
      <c r="E409" s="6" t="s">
        <v>41</v>
      </c>
      <c r="F409" s="1" t="s">
        <v>23</v>
      </c>
      <c r="G409" s="1" t="n">
        <v>137.5</v>
      </c>
      <c r="H409" s="1" t="n">
        <v>125</v>
      </c>
      <c r="I409" s="1" t="n">
        <v>23.01</v>
      </c>
      <c r="J409" s="1" t="n">
        <v>1</v>
      </c>
      <c r="K409" s="1" t="n">
        <v>0.0246729</v>
      </c>
      <c r="L409" s="5" t="n">
        <v>0.00567</v>
      </c>
      <c r="M409" s="1" t="n">
        <v>22.98</v>
      </c>
      <c r="N409" s="1" t="n">
        <v>22.06</v>
      </c>
      <c r="O409" s="1" t="n">
        <v>6.445</v>
      </c>
      <c r="P409" s="1" t="n">
        <v>3.657</v>
      </c>
      <c r="Q409" s="1" t="n">
        <v>16.29</v>
      </c>
      <c r="R409" s="1" t="n">
        <v>-0.1687</v>
      </c>
      <c r="S409" s="1" t="n">
        <v>0.5</v>
      </c>
      <c r="T409" s="5" t="n">
        <v>9.498E-008</v>
      </c>
      <c r="U409" s="5" t="n">
        <v>8.225E-006</v>
      </c>
      <c r="V409" s="1" t="n">
        <v>2.104</v>
      </c>
    </row>
    <row r="410" customFormat="false" ht="12.8" hidden="false" customHeight="false" outlineLevel="0" collapsed="false">
      <c r="A410" s="1" t="n">
        <v>6</v>
      </c>
      <c r="B410" s="4" t="s">
        <v>39</v>
      </c>
      <c r="C410" s="4" t="str">
        <f aca="false">IF(LEFT(E410,2)="S5","Spritz","Standard")</f>
        <v>Standard</v>
      </c>
      <c r="D410" s="4" t="n">
        <v>1</v>
      </c>
      <c r="E410" s="6" t="s">
        <v>41</v>
      </c>
      <c r="F410" s="1" t="s">
        <v>23</v>
      </c>
      <c r="G410" s="1" t="n">
        <v>162.5</v>
      </c>
      <c r="H410" s="1" t="n">
        <v>150</v>
      </c>
      <c r="I410" s="1" t="n">
        <v>23</v>
      </c>
      <c r="J410" s="1" t="n">
        <v>1</v>
      </c>
      <c r="K410" s="1" t="n">
        <v>0.0323563</v>
      </c>
      <c r="L410" s="5" t="n">
        <v>0.007386</v>
      </c>
      <c r="M410" s="1" t="n">
        <v>22.83</v>
      </c>
      <c r="N410" s="1" t="n">
        <v>22.05</v>
      </c>
      <c r="O410" s="1" t="n">
        <v>5.911</v>
      </c>
      <c r="P410" s="1" t="n">
        <v>3.633</v>
      </c>
      <c r="Q410" s="1" t="n">
        <v>15.01</v>
      </c>
      <c r="R410" s="1" t="n">
        <v>-0.1683</v>
      </c>
      <c r="S410" s="1" t="n">
        <v>0.5</v>
      </c>
      <c r="T410" s="5" t="n">
        <v>1.237E-007</v>
      </c>
      <c r="U410" s="5" t="n">
        <v>1.079E-005</v>
      </c>
      <c r="V410" s="1" t="n">
        <v>1.963</v>
      </c>
    </row>
    <row r="411" customFormat="false" ht="12.8" hidden="false" customHeight="false" outlineLevel="0" collapsed="false">
      <c r="A411" s="1" t="n">
        <v>7</v>
      </c>
      <c r="B411" s="4" t="s">
        <v>39</v>
      </c>
      <c r="C411" s="4" t="str">
        <f aca="false">IF(LEFT(E411,2)="S5","Spritz","Standard")</f>
        <v>Standard</v>
      </c>
      <c r="D411" s="4" t="n">
        <v>1</v>
      </c>
      <c r="E411" s="6" t="s">
        <v>41</v>
      </c>
      <c r="F411" s="1" t="s">
        <v>23</v>
      </c>
      <c r="G411" s="1" t="n">
        <v>187.5</v>
      </c>
      <c r="H411" s="1" t="n">
        <v>175.1</v>
      </c>
      <c r="I411" s="1" t="n">
        <v>23</v>
      </c>
      <c r="J411" s="1" t="n">
        <v>1</v>
      </c>
      <c r="K411" s="1" t="n">
        <v>0.0396699</v>
      </c>
      <c r="L411" s="5" t="n">
        <v>0.009024</v>
      </c>
      <c r="M411" s="1" t="n">
        <v>22.75</v>
      </c>
      <c r="N411" s="1" t="n">
        <v>22.06</v>
      </c>
      <c r="O411" s="1" t="n">
        <v>5.533</v>
      </c>
      <c r="P411" s="1" t="n">
        <v>3.62</v>
      </c>
      <c r="Q411" s="1" t="n">
        <v>14.08</v>
      </c>
      <c r="R411" s="1" t="n">
        <v>-0.1688</v>
      </c>
      <c r="S411" s="1" t="n">
        <v>0.5</v>
      </c>
      <c r="T411" s="5" t="n">
        <v>1.512E-007</v>
      </c>
      <c r="U411" s="5" t="n">
        <v>1.322E-005</v>
      </c>
      <c r="V411" s="1" t="n">
        <v>1.917</v>
      </c>
    </row>
    <row r="412" customFormat="false" ht="12.8" hidden="false" customHeight="false" outlineLevel="0" collapsed="false">
      <c r="A412" s="1" t="n">
        <v>8</v>
      </c>
      <c r="B412" s="4" t="s">
        <v>39</v>
      </c>
      <c r="C412" s="4" t="str">
        <f aca="false">IF(LEFT(E412,2)="S5","Spritz","Standard")</f>
        <v>Standard</v>
      </c>
      <c r="D412" s="4" t="n">
        <v>1</v>
      </c>
      <c r="E412" s="6" t="s">
        <v>41</v>
      </c>
      <c r="F412" s="1" t="s">
        <v>23</v>
      </c>
      <c r="G412" s="1" t="n">
        <v>212.5</v>
      </c>
      <c r="H412" s="1" t="n">
        <v>200.1</v>
      </c>
      <c r="I412" s="1" t="n">
        <v>22.99</v>
      </c>
      <c r="J412" s="1" t="n">
        <v>1</v>
      </c>
      <c r="K412" s="1" t="n">
        <v>0.0496741</v>
      </c>
      <c r="L412" s="1" t="n">
        <v>0.01127</v>
      </c>
      <c r="M412" s="1" t="n">
        <v>22.69</v>
      </c>
      <c r="N412" s="1" t="n">
        <v>22.1</v>
      </c>
      <c r="O412" s="1" t="n">
        <v>5.122</v>
      </c>
      <c r="P412" s="1" t="n">
        <v>3.611</v>
      </c>
      <c r="Q412" s="1" t="n">
        <v>13.05</v>
      </c>
      <c r="R412" s="1" t="n">
        <v>-0.1685</v>
      </c>
      <c r="S412" s="1" t="n">
        <v>0.5</v>
      </c>
      <c r="T412" s="5" t="n">
        <v>1.888E-007</v>
      </c>
      <c r="U412" s="5" t="n">
        <v>1.656E-005</v>
      </c>
      <c r="V412" s="1" t="n">
        <v>1.619</v>
      </c>
    </row>
    <row r="413" customFormat="false" ht="12.8" hidden="false" customHeight="false" outlineLevel="0" collapsed="false">
      <c r="A413" s="1" t="n">
        <v>9</v>
      </c>
      <c r="B413" s="4" t="s">
        <v>39</v>
      </c>
      <c r="C413" s="4" t="str">
        <f aca="false">IF(LEFT(E413,2)="S5","Spritz","Standard")</f>
        <v>Standard</v>
      </c>
      <c r="D413" s="4" t="n">
        <v>1</v>
      </c>
      <c r="E413" s="6" t="s">
        <v>41</v>
      </c>
      <c r="F413" s="1" t="s">
        <v>23</v>
      </c>
      <c r="G413" s="1" t="n">
        <v>237.5</v>
      </c>
      <c r="H413" s="1" t="n">
        <v>225.1</v>
      </c>
      <c r="I413" s="1" t="n">
        <v>22.99</v>
      </c>
      <c r="J413" s="1" t="n">
        <v>1</v>
      </c>
      <c r="K413" s="1" t="n">
        <v>0.0638498</v>
      </c>
      <c r="L413" s="1" t="n">
        <v>0.0143</v>
      </c>
      <c r="M413" s="1" t="n">
        <v>22.39</v>
      </c>
      <c r="N413" s="1" t="n">
        <v>21.84</v>
      </c>
      <c r="O413" s="1" t="n">
        <v>4.959</v>
      </c>
      <c r="P413" s="1" t="n">
        <v>3.564</v>
      </c>
      <c r="Q413" s="1" t="n">
        <v>12.8</v>
      </c>
      <c r="R413" s="1" t="n">
        <v>-0.1691</v>
      </c>
      <c r="S413" s="1" t="n">
        <v>0.5</v>
      </c>
      <c r="T413" s="5" t="n">
        <v>2.395E-007</v>
      </c>
      <c r="U413" s="5" t="n">
        <v>2.128E-005</v>
      </c>
      <c r="V413" s="1" t="n">
        <v>1.046</v>
      </c>
    </row>
    <row r="414" customFormat="false" ht="12.8" hidden="false" customHeight="false" outlineLevel="0" collapsed="false">
      <c r="A414" s="1" t="n">
        <v>10</v>
      </c>
      <c r="B414" s="4" t="s">
        <v>39</v>
      </c>
      <c r="C414" s="4" t="str">
        <f aca="false">IF(LEFT(E414,2)="S5","Spritz","Standard")</f>
        <v>Standard</v>
      </c>
      <c r="D414" s="4" t="n">
        <v>1</v>
      </c>
      <c r="E414" s="6" t="s">
        <v>41</v>
      </c>
      <c r="F414" s="1" t="s">
        <v>23</v>
      </c>
      <c r="G414" s="1" t="n">
        <v>262.5</v>
      </c>
      <c r="H414" s="1" t="n">
        <v>250.1</v>
      </c>
      <c r="I414" s="1" t="n">
        <v>22.99</v>
      </c>
      <c r="J414" s="1" t="n">
        <v>1</v>
      </c>
      <c r="K414" s="1" t="n">
        <v>0.0791663</v>
      </c>
      <c r="L414" s="1" t="n">
        <v>0.01753</v>
      </c>
      <c r="M414" s="1" t="n">
        <v>22.14</v>
      </c>
      <c r="N414" s="1" t="n">
        <v>21.64</v>
      </c>
      <c r="O414" s="1" t="n">
        <v>4.66</v>
      </c>
      <c r="P414" s="1" t="n">
        <v>3.524</v>
      </c>
      <c r="Q414" s="1" t="n">
        <v>12.15</v>
      </c>
      <c r="R414" s="1" t="n">
        <v>-0.1691</v>
      </c>
      <c r="S414" s="1" t="n">
        <v>0.5</v>
      </c>
      <c r="T414" s="5" t="n">
        <v>2.936E-007</v>
      </c>
      <c r="U414" s="5" t="n">
        <v>2.639E-005</v>
      </c>
      <c r="V414" s="1" t="n">
        <v>0.9683</v>
      </c>
    </row>
    <row r="415" customFormat="false" ht="12.8" hidden="false" customHeight="false" outlineLevel="0" collapsed="false">
      <c r="A415" s="1" t="n">
        <v>11</v>
      </c>
      <c r="B415" s="4" t="s">
        <v>39</v>
      </c>
      <c r="C415" s="4" t="str">
        <f aca="false">IF(LEFT(E415,2)="S5","Spritz","Standard")</f>
        <v>Standard</v>
      </c>
      <c r="D415" s="4" t="n">
        <v>1</v>
      </c>
      <c r="E415" s="6" t="s">
        <v>41</v>
      </c>
      <c r="F415" s="1" t="s">
        <v>23</v>
      </c>
      <c r="G415" s="1" t="n">
        <v>287.5</v>
      </c>
      <c r="H415" s="1" t="n">
        <v>275.1</v>
      </c>
      <c r="I415" s="1" t="n">
        <v>22.99</v>
      </c>
      <c r="J415" s="1" t="n">
        <v>1</v>
      </c>
      <c r="K415" s="1" t="n">
        <v>0.0994795</v>
      </c>
      <c r="L415" s="1" t="n">
        <v>0.02188</v>
      </c>
      <c r="M415" s="1" t="n">
        <v>21.99</v>
      </c>
      <c r="N415" s="1" t="n">
        <v>21.5</v>
      </c>
      <c r="O415" s="1" t="n">
        <v>4.637</v>
      </c>
      <c r="P415" s="1" t="n">
        <v>3.5</v>
      </c>
      <c r="Q415" s="1" t="n">
        <v>12.17</v>
      </c>
      <c r="R415" s="1" t="n">
        <v>-0.1698</v>
      </c>
      <c r="S415" s="1" t="n">
        <v>0.5</v>
      </c>
      <c r="T415" s="5" t="n">
        <v>3.665E-007</v>
      </c>
      <c r="U415" s="5" t="n">
        <v>3.316E-005</v>
      </c>
      <c r="V415" s="1" t="n">
        <v>0.703</v>
      </c>
    </row>
    <row r="416" customFormat="false" ht="12.8" hidden="false" customHeight="false" outlineLevel="0" collapsed="false">
      <c r="A416" s="1" t="n">
        <v>12</v>
      </c>
      <c r="B416" s="4" t="s">
        <v>39</v>
      </c>
      <c r="C416" s="4" t="str">
        <f aca="false">IF(LEFT(E416,2)="S5","Spritz","Standard")</f>
        <v>Standard</v>
      </c>
      <c r="D416" s="4" t="n">
        <v>1</v>
      </c>
      <c r="E416" s="6" t="s">
        <v>41</v>
      </c>
      <c r="F416" s="1" t="s">
        <v>23</v>
      </c>
      <c r="G416" s="1" t="n">
        <v>312.6</v>
      </c>
      <c r="H416" s="1" t="n">
        <v>300.1</v>
      </c>
      <c r="I416" s="1" t="n">
        <v>23</v>
      </c>
      <c r="J416" s="1" t="n">
        <v>1</v>
      </c>
      <c r="K416" s="1" t="n">
        <v>0.126919</v>
      </c>
      <c r="L416" s="1" t="n">
        <v>0.02759</v>
      </c>
      <c r="M416" s="1" t="n">
        <v>21.74</v>
      </c>
      <c r="N416" s="1" t="n">
        <v>21.27</v>
      </c>
      <c r="O416" s="1" t="n">
        <v>4.503</v>
      </c>
      <c r="P416" s="1" t="n">
        <v>3.46</v>
      </c>
      <c r="Q416" s="1" t="n">
        <v>11.96</v>
      </c>
      <c r="R416" s="1" t="n">
        <v>-0.1701</v>
      </c>
      <c r="S416" s="1" t="n">
        <v>0.5</v>
      </c>
      <c r="T416" s="5" t="n">
        <v>4.622E-007</v>
      </c>
      <c r="U416" s="5" t="n">
        <v>4.231E-005</v>
      </c>
      <c r="V416" s="1" t="n">
        <v>1.565</v>
      </c>
    </row>
    <row r="417" customFormat="false" ht="12.8" hidden="false" customHeight="false" outlineLevel="0" collapsed="false">
      <c r="A417" s="1" t="n">
        <v>13</v>
      </c>
      <c r="B417" s="4" t="s">
        <v>39</v>
      </c>
      <c r="C417" s="4" t="str">
        <f aca="false">IF(LEFT(E417,2)="S5","Spritz","Standard")</f>
        <v>Standard</v>
      </c>
      <c r="D417" s="4" t="n">
        <v>1</v>
      </c>
      <c r="E417" s="6" t="s">
        <v>41</v>
      </c>
      <c r="F417" s="1" t="s">
        <v>23</v>
      </c>
      <c r="G417" s="1" t="n">
        <v>337.6</v>
      </c>
      <c r="H417" s="1" t="n">
        <v>325.1</v>
      </c>
      <c r="I417" s="1" t="n">
        <v>23</v>
      </c>
      <c r="J417" s="1" t="n">
        <v>1</v>
      </c>
      <c r="K417" s="1" t="n">
        <v>0.157473</v>
      </c>
      <c r="L417" s="1" t="n">
        <v>0.03382</v>
      </c>
      <c r="M417" s="1" t="n">
        <v>21.48</v>
      </c>
      <c r="N417" s="1" t="n">
        <v>21.02</v>
      </c>
      <c r="O417" s="1" t="n">
        <v>4.406</v>
      </c>
      <c r="P417" s="1" t="n">
        <v>3.418</v>
      </c>
      <c r="Q417" s="1" t="n">
        <v>11.84</v>
      </c>
      <c r="R417" s="1" t="n">
        <v>-0.1697</v>
      </c>
      <c r="S417" s="1" t="n">
        <v>0.5</v>
      </c>
      <c r="T417" s="5" t="n">
        <v>5.666E-007</v>
      </c>
      <c r="U417" s="5" t="n">
        <v>5.249E-005</v>
      </c>
      <c r="V417" s="1" t="n">
        <v>0.725</v>
      </c>
    </row>
    <row r="418" customFormat="false" ht="12.8" hidden="false" customHeight="false" outlineLevel="0" collapsed="false">
      <c r="A418" s="1" t="n">
        <v>14</v>
      </c>
      <c r="B418" s="4" t="s">
        <v>39</v>
      </c>
      <c r="C418" s="4" t="str">
        <f aca="false">IF(LEFT(E418,2)="S5","Spritz","Standard")</f>
        <v>Standard</v>
      </c>
      <c r="D418" s="4" t="n">
        <v>1</v>
      </c>
      <c r="E418" s="6" t="s">
        <v>41</v>
      </c>
      <c r="F418" s="1" t="s">
        <v>23</v>
      </c>
      <c r="G418" s="1" t="n">
        <v>362.6</v>
      </c>
      <c r="H418" s="1" t="n">
        <v>350.2</v>
      </c>
      <c r="I418" s="1" t="n">
        <v>23</v>
      </c>
      <c r="J418" s="1" t="n">
        <v>1</v>
      </c>
      <c r="K418" s="1" t="n">
        <v>0.199839</v>
      </c>
      <c r="L418" s="1" t="n">
        <v>0.04222</v>
      </c>
      <c r="M418" s="1" t="n">
        <v>21.13</v>
      </c>
      <c r="N418" s="1" t="n">
        <v>20.7</v>
      </c>
      <c r="O418" s="1" t="n">
        <v>4.236</v>
      </c>
      <c r="P418" s="1" t="n">
        <v>3.362</v>
      </c>
      <c r="Q418" s="1" t="n">
        <v>11.57</v>
      </c>
      <c r="R418" s="1" t="n">
        <v>-0.1705</v>
      </c>
      <c r="S418" s="1" t="n">
        <v>0.5</v>
      </c>
      <c r="T418" s="5" t="n">
        <v>7.073E-007</v>
      </c>
      <c r="U418" s="5" t="n">
        <v>6.662E-005</v>
      </c>
      <c r="V418" s="1" t="n">
        <v>0.6876</v>
      </c>
    </row>
    <row r="419" customFormat="false" ht="12.8" hidden="false" customHeight="false" outlineLevel="0" collapsed="false">
      <c r="A419" s="1" t="n">
        <v>15</v>
      </c>
      <c r="B419" s="4" t="s">
        <v>39</v>
      </c>
      <c r="C419" s="4" t="str">
        <f aca="false">IF(LEFT(E419,2)="S5","Spritz","Standard")</f>
        <v>Standard</v>
      </c>
      <c r="D419" s="4" t="n">
        <v>1</v>
      </c>
      <c r="E419" s="6" t="s">
        <v>41</v>
      </c>
      <c r="F419" s="1" t="s">
        <v>23</v>
      </c>
      <c r="G419" s="1" t="n">
        <v>387.6</v>
      </c>
      <c r="H419" s="1" t="n">
        <v>375.2</v>
      </c>
      <c r="I419" s="1" t="n">
        <v>23</v>
      </c>
      <c r="J419" s="1" t="n">
        <v>1</v>
      </c>
      <c r="K419" s="1" t="n">
        <v>0.251327</v>
      </c>
      <c r="L419" s="1" t="n">
        <v>0.05208</v>
      </c>
      <c r="M419" s="1" t="n">
        <v>20.72</v>
      </c>
      <c r="N419" s="1" t="n">
        <v>20.3</v>
      </c>
      <c r="O419" s="1" t="n">
        <v>4.142</v>
      </c>
      <c r="P419" s="1" t="n">
        <v>3.298</v>
      </c>
      <c r="Q419" s="1" t="n">
        <v>11.53</v>
      </c>
      <c r="R419" s="1" t="n">
        <v>-0.1706</v>
      </c>
      <c r="S419" s="1" t="n">
        <v>0.5</v>
      </c>
      <c r="T419" s="5" t="n">
        <v>8.725E-007</v>
      </c>
      <c r="U419" s="5" t="n">
        <v>8.378E-005</v>
      </c>
      <c r="V419" s="1" t="n">
        <v>0.6624</v>
      </c>
    </row>
    <row r="420" customFormat="false" ht="12.8" hidden="false" customHeight="false" outlineLevel="0" collapsed="false">
      <c r="A420" s="1" t="n">
        <v>16</v>
      </c>
      <c r="B420" s="4" t="s">
        <v>39</v>
      </c>
      <c r="C420" s="4" t="str">
        <f aca="false">IF(LEFT(E420,2)="S5","Spritz","Standard")</f>
        <v>Standard</v>
      </c>
      <c r="D420" s="4" t="n">
        <v>1</v>
      </c>
      <c r="E420" s="6" t="s">
        <v>41</v>
      </c>
      <c r="F420" s="1" t="s">
        <v>23</v>
      </c>
      <c r="G420" s="1" t="n">
        <v>412.6</v>
      </c>
      <c r="H420" s="1" t="n">
        <v>400.2</v>
      </c>
      <c r="I420" s="1" t="n">
        <v>23</v>
      </c>
      <c r="J420" s="1" t="n">
        <v>1</v>
      </c>
      <c r="K420" s="1" t="n">
        <v>0.315487</v>
      </c>
      <c r="L420" s="1" t="n">
        <v>0.064</v>
      </c>
      <c r="M420" s="1" t="n">
        <v>20.29</v>
      </c>
      <c r="N420" s="1" t="n">
        <v>19.87</v>
      </c>
      <c r="O420" s="1" t="n">
        <v>4.087</v>
      </c>
      <c r="P420" s="1" t="n">
        <v>3.229</v>
      </c>
      <c r="Q420" s="1" t="n">
        <v>11.62</v>
      </c>
      <c r="R420" s="1" t="n">
        <v>-0.17</v>
      </c>
      <c r="S420" s="1" t="n">
        <v>0.5</v>
      </c>
      <c r="T420" s="5" t="n">
        <v>1.072E-006</v>
      </c>
      <c r="U420" s="5" t="n">
        <v>0.0001052</v>
      </c>
      <c r="V420" s="1" t="n">
        <v>0.6673</v>
      </c>
    </row>
    <row r="421" customFormat="false" ht="12.8" hidden="false" customHeight="false" outlineLevel="0" collapsed="false">
      <c r="A421" s="1" t="n">
        <v>17</v>
      </c>
      <c r="B421" s="4" t="s">
        <v>39</v>
      </c>
      <c r="C421" s="4" t="str">
        <f aca="false">IF(LEFT(E421,2)="S5","Spritz","Standard")</f>
        <v>Standard</v>
      </c>
      <c r="D421" s="4" t="n">
        <v>1</v>
      </c>
      <c r="E421" s="6" t="s">
        <v>41</v>
      </c>
      <c r="F421" s="1" t="s">
        <v>23</v>
      </c>
      <c r="G421" s="1" t="n">
        <v>437.6</v>
      </c>
      <c r="H421" s="1" t="n">
        <v>425.2</v>
      </c>
      <c r="I421" s="1" t="n">
        <v>23</v>
      </c>
      <c r="J421" s="1" t="n">
        <v>1</v>
      </c>
      <c r="K421" s="1" t="n">
        <v>0.39941</v>
      </c>
      <c r="L421" s="1" t="n">
        <v>0.07889</v>
      </c>
      <c r="M421" s="1" t="n">
        <v>19.75</v>
      </c>
      <c r="N421" s="1" t="n">
        <v>19.33</v>
      </c>
      <c r="O421" s="1" t="n">
        <v>4.051</v>
      </c>
      <c r="P421" s="1" t="n">
        <v>3.144</v>
      </c>
      <c r="Q421" s="1" t="n">
        <v>11.84</v>
      </c>
      <c r="R421" s="1" t="n">
        <v>-0.1705</v>
      </c>
      <c r="S421" s="1" t="n">
        <v>0.5</v>
      </c>
      <c r="T421" s="5" t="n">
        <v>1.322E-006</v>
      </c>
      <c r="U421" s="5" t="n">
        <v>0.0001331</v>
      </c>
      <c r="V421" s="1" t="n">
        <v>0.5865</v>
      </c>
    </row>
    <row r="422" customFormat="false" ht="12.8" hidden="false" customHeight="false" outlineLevel="0" collapsed="false">
      <c r="A422" s="1" t="n">
        <v>18</v>
      </c>
      <c r="B422" s="4" t="s">
        <v>39</v>
      </c>
      <c r="C422" s="4" t="str">
        <f aca="false">IF(LEFT(E422,2)="S5","Spritz","Standard")</f>
        <v>Standard</v>
      </c>
      <c r="D422" s="4" t="n">
        <v>1</v>
      </c>
      <c r="E422" s="6" t="s">
        <v>41</v>
      </c>
      <c r="F422" s="1" t="s">
        <v>23</v>
      </c>
      <c r="G422" s="1" t="n">
        <v>462.6</v>
      </c>
      <c r="H422" s="1" t="n">
        <v>450.2</v>
      </c>
      <c r="I422" s="1" t="n">
        <v>23</v>
      </c>
      <c r="J422" s="1" t="n">
        <v>1</v>
      </c>
      <c r="K422" s="1" t="n">
        <v>0.501232</v>
      </c>
      <c r="L422" s="1" t="n">
        <v>0.09619</v>
      </c>
      <c r="M422" s="1" t="n">
        <v>19.19</v>
      </c>
      <c r="N422" s="1" t="n">
        <v>18.76</v>
      </c>
      <c r="O422" s="1" t="n">
        <v>4.046</v>
      </c>
      <c r="P422" s="1" t="n">
        <v>3.054</v>
      </c>
      <c r="Q422" s="1" t="n">
        <v>12.17</v>
      </c>
      <c r="R422" s="1" t="n">
        <v>-0.1708</v>
      </c>
      <c r="S422" s="1" t="n">
        <v>0.5</v>
      </c>
      <c r="T422" s="5" t="n">
        <v>1.611E-006</v>
      </c>
      <c r="U422" s="5" t="n">
        <v>0.0001671</v>
      </c>
      <c r="V422" s="1" t="n">
        <v>0.5998</v>
      </c>
    </row>
    <row r="423" customFormat="false" ht="12.8" hidden="false" customHeight="false" outlineLevel="0" collapsed="false">
      <c r="A423" s="1" t="n">
        <v>19</v>
      </c>
      <c r="B423" s="4" t="s">
        <v>39</v>
      </c>
      <c r="C423" s="4" t="str">
        <f aca="false">IF(LEFT(E423,2)="S5","Spritz","Standard")</f>
        <v>Standard</v>
      </c>
      <c r="D423" s="4" t="n">
        <v>1</v>
      </c>
      <c r="E423" s="6" t="s">
        <v>41</v>
      </c>
      <c r="F423" s="1" t="s">
        <v>23</v>
      </c>
      <c r="G423" s="1" t="n">
        <v>487.6</v>
      </c>
      <c r="H423" s="1" t="n">
        <v>475.2</v>
      </c>
      <c r="I423" s="1" t="n">
        <v>23</v>
      </c>
      <c r="J423" s="1" t="n">
        <v>1</v>
      </c>
      <c r="K423" s="1" t="n">
        <v>0.630086</v>
      </c>
      <c r="L423" s="1" t="n">
        <v>0.1167</v>
      </c>
      <c r="M423" s="1" t="n">
        <v>18.52</v>
      </c>
      <c r="N423" s="1" t="n">
        <v>18.08</v>
      </c>
      <c r="O423" s="1" t="n">
        <v>4.043</v>
      </c>
      <c r="P423" s="1" t="n">
        <v>2.948</v>
      </c>
      <c r="Q423" s="1" t="n">
        <v>12.61</v>
      </c>
      <c r="R423" s="1" t="n">
        <v>-0.1705</v>
      </c>
      <c r="S423" s="1" t="n">
        <v>0.5</v>
      </c>
      <c r="T423" s="5" t="n">
        <v>1.955E-006</v>
      </c>
      <c r="U423" s="5" t="n">
        <v>0.00021</v>
      </c>
      <c r="V423" s="1" t="n">
        <v>0.6283</v>
      </c>
    </row>
    <row r="424" customFormat="false" ht="12.8" hidden="false" customHeight="false" outlineLevel="0" collapsed="false">
      <c r="A424" s="1" t="n">
        <v>20</v>
      </c>
      <c r="B424" s="4" t="s">
        <v>39</v>
      </c>
      <c r="C424" s="4" t="str">
        <f aca="false">IF(LEFT(E424,2)="S5","Spritz","Standard")</f>
        <v>Standard</v>
      </c>
      <c r="D424" s="4" t="n">
        <v>1</v>
      </c>
      <c r="E424" s="6" t="s">
        <v>41</v>
      </c>
      <c r="F424" s="1" t="s">
        <v>23</v>
      </c>
      <c r="G424" s="1" t="n">
        <v>512.6</v>
      </c>
      <c r="H424" s="1" t="n">
        <v>500.2</v>
      </c>
      <c r="I424" s="1" t="n">
        <v>23</v>
      </c>
      <c r="J424" s="1" t="n">
        <v>1</v>
      </c>
      <c r="K424" s="1" t="n">
        <v>0.795278</v>
      </c>
      <c r="L424" s="1" t="n">
        <v>0.1409</v>
      </c>
      <c r="M424" s="1" t="n">
        <v>17.72</v>
      </c>
      <c r="N424" s="1" t="n">
        <v>17.26</v>
      </c>
      <c r="O424" s="1" t="n">
        <v>4.026</v>
      </c>
      <c r="P424" s="1" t="n">
        <v>2.82</v>
      </c>
      <c r="Q424" s="1" t="n">
        <v>13.13</v>
      </c>
      <c r="R424" s="1" t="n">
        <v>-0.1719</v>
      </c>
      <c r="S424" s="1" t="n">
        <v>0.5</v>
      </c>
      <c r="T424" s="5" t="n">
        <v>2.361E-006</v>
      </c>
      <c r="U424" s="5" t="n">
        <v>0.0002651</v>
      </c>
      <c r="V424" s="1" t="n">
        <v>0.6486</v>
      </c>
    </row>
    <row r="425" customFormat="false" ht="12.8" hidden="false" customHeight="false" outlineLevel="0" collapsed="false">
      <c r="A425" s="1" t="n">
        <v>21</v>
      </c>
      <c r="B425" s="4" t="s">
        <v>39</v>
      </c>
      <c r="C425" s="4" t="str">
        <f aca="false">IF(LEFT(E425,2)="S5","Spritz","Standard")</f>
        <v>Standard</v>
      </c>
      <c r="D425" s="4" t="n">
        <v>1</v>
      </c>
      <c r="E425" s="6" t="s">
        <v>41</v>
      </c>
      <c r="F425" s="1" t="s">
        <v>23</v>
      </c>
      <c r="G425" s="1" t="n">
        <v>537.6</v>
      </c>
      <c r="H425" s="1" t="n">
        <v>525.2</v>
      </c>
      <c r="I425" s="1" t="n">
        <v>23</v>
      </c>
      <c r="J425" s="1" t="n">
        <v>1</v>
      </c>
      <c r="K425" s="1" t="n">
        <v>1.00071</v>
      </c>
      <c r="L425" s="1" t="n">
        <v>0.1689</v>
      </c>
      <c r="M425" s="1" t="n">
        <v>16.88</v>
      </c>
      <c r="N425" s="1" t="n">
        <v>16.39</v>
      </c>
      <c r="O425" s="1" t="n">
        <v>4.022</v>
      </c>
      <c r="P425" s="1" t="n">
        <v>2.686</v>
      </c>
      <c r="Q425" s="1" t="n">
        <v>13.79</v>
      </c>
      <c r="R425" s="1" t="n">
        <v>-0.1706</v>
      </c>
      <c r="S425" s="1" t="n">
        <v>0.5</v>
      </c>
      <c r="T425" s="5" t="n">
        <v>2.829E-006</v>
      </c>
      <c r="U425" s="5" t="n">
        <v>0.0003336</v>
      </c>
      <c r="V425" s="1" t="n">
        <v>0.6382</v>
      </c>
    </row>
    <row r="426" customFormat="false" ht="12.8" hidden="false" customHeight="false" outlineLevel="0" collapsed="false">
      <c r="A426" s="1" t="n">
        <v>22</v>
      </c>
      <c r="B426" s="4" t="s">
        <v>39</v>
      </c>
      <c r="C426" s="4" t="str">
        <f aca="false">IF(LEFT(E426,2)="S5","Spritz","Standard")</f>
        <v>Standard</v>
      </c>
      <c r="D426" s="4" t="n">
        <v>1</v>
      </c>
      <c r="E426" s="6" t="s">
        <v>41</v>
      </c>
      <c r="F426" s="1" t="s">
        <v>23</v>
      </c>
      <c r="G426" s="1" t="n">
        <v>562.7</v>
      </c>
      <c r="H426" s="1" t="n">
        <v>550.2</v>
      </c>
      <c r="I426" s="1" t="n">
        <v>23</v>
      </c>
      <c r="J426" s="1" t="n">
        <v>1</v>
      </c>
      <c r="K426" s="1" t="n">
        <v>1.25963</v>
      </c>
      <c r="L426" s="1" t="n">
        <v>0.2</v>
      </c>
      <c r="M426" s="1" t="n">
        <v>15.88</v>
      </c>
      <c r="N426" s="1" t="n">
        <v>15.37</v>
      </c>
      <c r="O426" s="1" t="n">
        <v>3.991</v>
      </c>
      <c r="P426" s="1" t="n">
        <v>2.528</v>
      </c>
      <c r="Q426" s="1" t="n">
        <v>14.56</v>
      </c>
      <c r="R426" s="1" t="n">
        <v>-0.1711</v>
      </c>
      <c r="S426" s="1" t="n">
        <v>0.5</v>
      </c>
      <c r="T426" s="5" t="n">
        <v>3.351E-006</v>
      </c>
      <c r="U426" s="5" t="n">
        <v>0.0004199</v>
      </c>
      <c r="V426" s="1" t="n">
        <v>0.7298</v>
      </c>
    </row>
    <row r="427" customFormat="false" ht="12.8" hidden="false" customHeight="false" outlineLevel="0" collapsed="false">
      <c r="A427" s="1" t="n">
        <v>23</v>
      </c>
      <c r="B427" s="4" t="s">
        <v>39</v>
      </c>
      <c r="C427" s="4" t="str">
        <f aca="false">IF(LEFT(E427,2)="S5","Spritz","Standard")</f>
        <v>Standard</v>
      </c>
      <c r="D427" s="4" t="n">
        <v>1</v>
      </c>
      <c r="E427" s="6" t="s">
        <v>41</v>
      </c>
      <c r="F427" s="1" t="s">
        <v>23</v>
      </c>
      <c r="G427" s="1" t="n">
        <v>587.7</v>
      </c>
      <c r="H427" s="1" t="n">
        <v>575.2</v>
      </c>
      <c r="I427" s="1" t="n">
        <v>23</v>
      </c>
      <c r="J427" s="1" t="n">
        <v>1</v>
      </c>
      <c r="K427" s="1" t="n">
        <v>1.58563</v>
      </c>
      <c r="L427" s="1" t="n">
        <v>0.2344</v>
      </c>
      <c r="M427" s="1" t="n">
        <v>14.78</v>
      </c>
      <c r="N427" s="1" t="n">
        <v>14.25</v>
      </c>
      <c r="O427" s="1" t="n">
        <v>3.935</v>
      </c>
      <c r="P427" s="1" t="n">
        <v>2.353</v>
      </c>
      <c r="Q427" s="1" t="n">
        <v>15.44</v>
      </c>
      <c r="R427" s="1" t="n">
        <v>-0.1712</v>
      </c>
      <c r="S427" s="1" t="n">
        <v>0.5</v>
      </c>
      <c r="T427" s="5" t="n">
        <v>3.927E-006</v>
      </c>
      <c r="U427" s="5" t="n">
        <v>0.0005286</v>
      </c>
      <c r="V427" s="1" t="n">
        <v>0.8932</v>
      </c>
    </row>
    <row r="428" customFormat="false" ht="12.8" hidden="false" customHeight="false" outlineLevel="0" collapsed="false">
      <c r="A428" s="1" t="n">
        <v>24</v>
      </c>
      <c r="B428" s="4" t="s">
        <v>39</v>
      </c>
      <c r="C428" s="4" t="str">
        <f aca="false">IF(LEFT(E428,2)="S5","Spritz","Standard")</f>
        <v>Standard</v>
      </c>
      <c r="D428" s="4" t="n">
        <v>1</v>
      </c>
      <c r="E428" s="6" t="s">
        <v>41</v>
      </c>
      <c r="F428" s="1" t="s">
        <v>23</v>
      </c>
      <c r="G428" s="1" t="n">
        <v>612.7</v>
      </c>
      <c r="H428" s="1" t="n">
        <v>600.3</v>
      </c>
      <c r="I428" s="1" t="n">
        <v>23</v>
      </c>
      <c r="J428" s="1" t="n">
        <v>1</v>
      </c>
      <c r="K428" s="1" t="n">
        <v>1.99916</v>
      </c>
      <c r="L428" s="1" t="n">
        <v>0.2725</v>
      </c>
      <c r="M428" s="1" t="n">
        <v>13.63</v>
      </c>
      <c r="N428" s="1" t="n">
        <v>13.07</v>
      </c>
      <c r="O428" s="1" t="n">
        <v>3.87</v>
      </c>
      <c r="P428" s="1" t="n">
        <v>2.169</v>
      </c>
      <c r="Q428" s="1" t="n">
        <v>16.49</v>
      </c>
      <c r="R428" s="1" t="n">
        <v>-0.1717</v>
      </c>
      <c r="S428" s="1" t="n">
        <v>0.5</v>
      </c>
      <c r="T428" s="5" t="n">
        <v>4.565E-006</v>
      </c>
      <c r="U428" s="5" t="n">
        <v>0.0006664</v>
      </c>
      <c r="V428" s="1" t="n">
        <v>1.295</v>
      </c>
    </row>
    <row r="429" customFormat="false" ht="12.8" hidden="false" customHeight="false" outlineLevel="0" collapsed="false">
      <c r="A429" s="1" t="n">
        <v>25</v>
      </c>
      <c r="B429" s="4" t="s">
        <v>39</v>
      </c>
      <c r="C429" s="4" t="str">
        <f aca="false">IF(LEFT(E429,2)="S5","Spritz","Standard")</f>
        <v>Standard</v>
      </c>
      <c r="D429" s="4" t="n">
        <v>1</v>
      </c>
      <c r="E429" s="6" t="s">
        <v>41</v>
      </c>
      <c r="F429" s="1" t="s">
        <v>23</v>
      </c>
      <c r="G429" s="1" t="n">
        <v>637.7</v>
      </c>
      <c r="H429" s="1" t="n">
        <v>625.3</v>
      </c>
      <c r="I429" s="1" t="n">
        <v>23</v>
      </c>
      <c r="J429" s="1" t="n">
        <v>1</v>
      </c>
      <c r="K429" s="1" t="n">
        <v>2.51452</v>
      </c>
      <c r="L429" s="1" t="n">
        <v>0.3116</v>
      </c>
      <c r="M429" s="1" t="n">
        <v>12.39</v>
      </c>
      <c r="N429" s="1" t="n">
        <v>11.81</v>
      </c>
      <c r="O429" s="1" t="n">
        <v>3.746</v>
      </c>
      <c r="P429" s="1" t="n">
        <v>1.972</v>
      </c>
      <c r="Q429" s="1" t="n">
        <v>17.59</v>
      </c>
      <c r="R429" s="1" t="n">
        <v>-0.1723</v>
      </c>
      <c r="S429" s="1" t="n">
        <v>0.5</v>
      </c>
      <c r="T429" s="5" t="n">
        <v>5.221E-006</v>
      </c>
      <c r="U429" s="5" t="n">
        <v>0.0008382</v>
      </c>
      <c r="V429" s="1" t="n">
        <v>1.745</v>
      </c>
    </row>
    <row r="430" customFormat="false" ht="12.8" hidden="false" customHeight="false" outlineLevel="0" collapsed="false">
      <c r="A430" s="1" t="n">
        <v>26</v>
      </c>
      <c r="B430" s="4" t="s">
        <v>39</v>
      </c>
      <c r="C430" s="4" t="str">
        <f aca="false">IF(LEFT(E430,2)="S5","Spritz","Standard")</f>
        <v>Standard</v>
      </c>
      <c r="D430" s="4" t="n">
        <v>1</v>
      </c>
      <c r="E430" s="6" t="s">
        <v>41</v>
      </c>
      <c r="F430" s="1" t="s">
        <v>23</v>
      </c>
      <c r="G430" s="1" t="n">
        <v>662.7</v>
      </c>
      <c r="H430" s="1" t="n">
        <v>650.3</v>
      </c>
      <c r="I430" s="1" t="n">
        <v>23</v>
      </c>
      <c r="J430" s="1" t="n">
        <v>1</v>
      </c>
      <c r="K430" s="1" t="n">
        <v>3.16702</v>
      </c>
      <c r="L430" s="1" t="n">
        <v>0.3515</v>
      </c>
      <c r="M430" s="1" t="n">
        <v>11.1</v>
      </c>
      <c r="N430" s="1" t="n">
        <v>10.51</v>
      </c>
      <c r="O430" s="1" t="n">
        <v>3.559</v>
      </c>
      <c r="P430" s="1" t="n">
        <v>1.767</v>
      </c>
      <c r="Q430" s="1" t="n">
        <v>18.7</v>
      </c>
      <c r="R430" s="1" t="n">
        <v>-0.1723</v>
      </c>
      <c r="S430" s="1" t="n">
        <v>0.5</v>
      </c>
      <c r="T430" s="5" t="n">
        <v>5.889E-006</v>
      </c>
      <c r="U430" s="5" t="n">
        <v>0.001056</v>
      </c>
      <c r="V430" s="1" t="n">
        <v>2.399</v>
      </c>
    </row>
    <row r="431" customFormat="false" ht="12.8" hidden="false" customHeight="false" outlineLevel="0" collapsed="false">
      <c r="A431" s="1" t="n">
        <v>27</v>
      </c>
      <c r="B431" s="4" t="s">
        <v>39</v>
      </c>
      <c r="C431" s="4" t="str">
        <f aca="false">IF(LEFT(E431,2)="S5","Spritz","Standard")</f>
        <v>Standard</v>
      </c>
      <c r="D431" s="4" t="n">
        <v>1</v>
      </c>
      <c r="E431" s="6" t="s">
        <v>41</v>
      </c>
      <c r="F431" s="1" t="s">
        <v>23</v>
      </c>
      <c r="G431" s="1" t="n">
        <v>687.7</v>
      </c>
      <c r="H431" s="1" t="n">
        <v>675.3</v>
      </c>
      <c r="I431" s="1" t="n">
        <v>23</v>
      </c>
      <c r="J431" s="1" t="n">
        <v>1</v>
      </c>
      <c r="K431" s="1" t="n">
        <v>3.98964</v>
      </c>
      <c r="L431" s="1" t="n">
        <v>0.3949</v>
      </c>
      <c r="M431" s="1" t="n">
        <v>9.899</v>
      </c>
      <c r="N431" s="1" t="n">
        <v>9.302</v>
      </c>
      <c r="O431" s="1" t="n">
        <v>3.387</v>
      </c>
      <c r="P431" s="1" t="n">
        <v>1.575</v>
      </c>
      <c r="Q431" s="1" t="n">
        <v>20.01</v>
      </c>
      <c r="R431" s="1" t="n">
        <v>-0.1725</v>
      </c>
      <c r="S431" s="1" t="n">
        <v>0.5</v>
      </c>
      <c r="T431" s="5" t="n">
        <v>6.616E-006</v>
      </c>
      <c r="U431" s="5" t="n">
        <v>0.00133</v>
      </c>
      <c r="V431" s="1" t="n">
        <v>3.258</v>
      </c>
    </row>
    <row r="432" customFormat="false" ht="12.8" hidden="false" customHeight="false" outlineLevel="0" collapsed="false">
      <c r="A432" s="1" t="n">
        <v>28</v>
      </c>
      <c r="B432" s="4" t="s">
        <v>39</v>
      </c>
      <c r="C432" s="4" t="str">
        <f aca="false">IF(LEFT(E432,2)="S5","Spritz","Standard")</f>
        <v>Standard</v>
      </c>
      <c r="D432" s="4" t="n">
        <v>1</v>
      </c>
      <c r="E432" s="6" t="s">
        <v>41</v>
      </c>
      <c r="F432" s="1" t="s">
        <v>23</v>
      </c>
      <c r="G432" s="1" t="n">
        <v>712.7</v>
      </c>
      <c r="H432" s="1" t="n">
        <v>700.3</v>
      </c>
      <c r="I432" s="1" t="n">
        <v>23</v>
      </c>
      <c r="J432" s="1" t="n">
        <v>1</v>
      </c>
      <c r="K432" s="1" t="n">
        <v>5.01994</v>
      </c>
      <c r="L432" s="1" t="n">
        <v>0.4374</v>
      </c>
      <c r="M432" s="1" t="n">
        <v>8.713</v>
      </c>
      <c r="N432" s="1" t="n">
        <v>8.109</v>
      </c>
      <c r="O432" s="1" t="n">
        <v>3.187</v>
      </c>
      <c r="P432" s="1" t="n">
        <v>1.387</v>
      </c>
      <c r="Q432" s="1" t="n">
        <v>21.45</v>
      </c>
      <c r="R432" s="1" t="n">
        <v>-0.1722</v>
      </c>
      <c r="S432" s="1" t="n">
        <v>0.5</v>
      </c>
      <c r="T432" s="5" t="n">
        <v>7.327E-006</v>
      </c>
      <c r="U432" s="5" t="n">
        <v>0.001673</v>
      </c>
      <c r="V432" s="1" t="n">
        <v>3.634</v>
      </c>
    </row>
    <row r="433" customFormat="false" ht="12.8" hidden="false" customHeight="false" outlineLevel="0" collapsed="false">
      <c r="A433" s="1" t="n">
        <v>29</v>
      </c>
      <c r="B433" s="4" t="s">
        <v>39</v>
      </c>
      <c r="C433" s="4" t="str">
        <f aca="false">IF(LEFT(E433,2)="S5","Spritz","Standard")</f>
        <v>Standard</v>
      </c>
      <c r="D433" s="4" t="n">
        <v>1</v>
      </c>
      <c r="E433" s="6" t="s">
        <v>41</v>
      </c>
      <c r="F433" s="1" t="s">
        <v>23</v>
      </c>
      <c r="G433" s="1" t="n">
        <v>737.7</v>
      </c>
      <c r="H433" s="1" t="n">
        <v>725.3</v>
      </c>
      <c r="I433" s="1" t="n">
        <v>23</v>
      </c>
      <c r="J433" s="1" t="n">
        <v>1</v>
      </c>
      <c r="K433" s="1" t="n">
        <v>6.32038</v>
      </c>
      <c r="L433" s="1" t="n">
        <v>0.4789</v>
      </c>
      <c r="M433" s="1" t="n">
        <v>7.577</v>
      </c>
      <c r="N433" s="1" t="n">
        <v>6.963</v>
      </c>
      <c r="O433" s="1" t="n">
        <v>2.989</v>
      </c>
      <c r="P433" s="1" t="n">
        <v>1.206</v>
      </c>
      <c r="Q433" s="1" t="n">
        <v>23.23</v>
      </c>
      <c r="R433" s="1" t="n">
        <v>-0.174</v>
      </c>
      <c r="S433" s="1" t="n">
        <v>0.5</v>
      </c>
      <c r="T433" s="5" t="n">
        <v>8.023E-006</v>
      </c>
      <c r="U433" s="5" t="n">
        <v>0.002107</v>
      </c>
      <c r="V433" s="1" t="n">
        <v>4.17</v>
      </c>
    </row>
    <row r="434" customFormat="false" ht="12.8" hidden="false" customHeight="false" outlineLevel="0" collapsed="false">
      <c r="A434" s="1" t="n">
        <v>30</v>
      </c>
      <c r="B434" s="4" t="s">
        <v>39</v>
      </c>
      <c r="C434" s="4" t="str">
        <f aca="false">IF(LEFT(E434,2)="S5","Spritz","Standard")</f>
        <v>Standard</v>
      </c>
      <c r="D434" s="4" t="n">
        <v>1</v>
      </c>
      <c r="E434" s="6" t="s">
        <v>41</v>
      </c>
      <c r="F434" s="1" t="s">
        <v>23</v>
      </c>
      <c r="G434" s="1" t="n">
        <v>762.7</v>
      </c>
      <c r="H434" s="1" t="n">
        <v>750.3</v>
      </c>
      <c r="I434" s="1" t="n">
        <v>23</v>
      </c>
      <c r="J434" s="1" t="n">
        <v>1</v>
      </c>
      <c r="K434" s="1" t="n">
        <v>7.96009</v>
      </c>
      <c r="L434" s="1" t="n">
        <v>0.5179</v>
      </c>
      <c r="M434" s="1" t="n">
        <v>6.507</v>
      </c>
      <c r="N434" s="1" t="n">
        <v>5.903</v>
      </c>
      <c r="O434" s="1" t="n">
        <v>2.738</v>
      </c>
      <c r="P434" s="1" t="n">
        <v>1.036</v>
      </c>
      <c r="Q434" s="1" t="n">
        <v>24.89</v>
      </c>
      <c r="R434" s="1" t="n">
        <v>-0.1729</v>
      </c>
      <c r="S434" s="1" t="n">
        <v>0.5</v>
      </c>
      <c r="T434" s="5" t="n">
        <v>8.677E-006</v>
      </c>
      <c r="U434" s="5" t="n">
        <v>0.002653</v>
      </c>
      <c r="V434" s="1" t="n">
        <v>5.321</v>
      </c>
    </row>
    <row r="435" customFormat="false" ht="12.8" hidden="false" customHeight="false" outlineLevel="0" collapsed="false">
      <c r="A435" s="1" t="n">
        <v>31</v>
      </c>
      <c r="B435" s="4" t="s">
        <v>39</v>
      </c>
      <c r="C435" s="4" t="str">
        <f aca="false">IF(LEFT(E435,2)="S5","Spritz","Standard")</f>
        <v>Standard</v>
      </c>
      <c r="D435" s="4" t="n">
        <v>1</v>
      </c>
      <c r="E435" s="6" t="s">
        <v>41</v>
      </c>
      <c r="F435" s="1" t="s">
        <v>23</v>
      </c>
      <c r="G435" s="1" t="n">
        <v>787.7</v>
      </c>
      <c r="H435" s="1" t="n">
        <v>775.3</v>
      </c>
      <c r="I435" s="1" t="n">
        <v>23</v>
      </c>
      <c r="J435" s="1" t="n">
        <v>1</v>
      </c>
      <c r="K435" s="1" t="n">
        <v>10.0196</v>
      </c>
      <c r="L435" s="1" t="n">
        <v>0.555</v>
      </c>
      <c r="M435" s="1" t="n">
        <v>5.539</v>
      </c>
      <c r="N435" s="1" t="n">
        <v>4.951</v>
      </c>
      <c r="O435" s="1" t="n">
        <v>2.484</v>
      </c>
      <c r="P435" s="1" t="n">
        <v>0.8816</v>
      </c>
      <c r="Q435" s="1" t="n">
        <v>26.65</v>
      </c>
      <c r="R435" s="1" t="n">
        <v>-0.1734</v>
      </c>
      <c r="S435" s="1" t="n">
        <v>0.5</v>
      </c>
      <c r="T435" s="5" t="n">
        <v>9.298E-006</v>
      </c>
      <c r="U435" s="5" t="n">
        <v>0.00334</v>
      </c>
      <c r="V435" s="1" t="n">
        <v>5.969</v>
      </c>
    </row>
    <row r="436" customFormat="false" ht="12.8" hidden="false" customHeight="false" outlineLevel="0" collapsed="false">
      <c r="A436" s="1" t="n">
        <v>1</v>
      </c>
      <c r="B436" s="4" t="s">
        <v>39</v>
      </c>
      <c r="C436" s="4" t="str">
        <f aca="false">IF(LEFT(E436,2)="S5","Spritz","Standard")</f>
        <v>Standard</v>
      </c>
      <c r="D436" s="4" t="n">
        <v>2</v>
      </c>
      <c r="E436" s="6" t="s">
        <v>42</v>
      </c>
      <c r="F436" s="1" t="s">
        <v>23</v>
      </c>
      <c r="G436" s="1" t="n">
        <v>35.75</v>
      </c>
      <c r="H436" s="1" t="n">
        <v>25</v>
      </c>
      <c r="I436" s="1" t="n">
        <v>23.09</v>
      </c>
      <c r="J436" s="1" t="n">
        <v>1</v>
      </c>
      <c r="K436" s="1" t="n">
        <v>0.0108307</v>
      </c>
      <c r="L436" s="5" t="n">
        <v>0.0005865</v>
      </c>
      <c r="M436" s="1" t="n">
        <v>5.415</v>
      </c>
      <c r="N436" s="1" t="n">
        <v>4.506</v>
      </c>
      <c r="O436" s="1" t="n">
        <v>3.002</v>
      </c>
      <c r="P436" s="1" t="n">
        <v>0.8618</v>
      </c>
      <c r="Q436" s="1" t="n">
        <v>33.68</v>
      </c>
      <c r="R436" s="1" t="n">
        <v>-0.027</v>
      </c>
      <c r="S436" s="1" t="n">
        <v>0.5</v>
      </c>
      <c r="T436" s="5" t="n">
        <v>9.825E-009</v>
      </c>
      <c r="U436" s="5" t="n">
        <v>3.61E-006</v>
      </c>
      <c r="V436" s="1" t="n">
        <v>16.6</v>
      </c>
    </row>
    <row r="437" customFormat="false" ht="12.8" hidden="false" customHeight="false" outlineLevel="0" collapsed="false">
      <c r="A437" s="1" t="n">
        <v>2</v>
      </c>
      <c r="B437" s="4" t="s">
        <v>39</v>
      </c>
      <c r="C437" s="4" t="str">
        <f aca="false">IF(LEFT(E437,2)="S5","Spritz","Standard")</f>
        <v>Standard</v>
      </c>
      <c r="D437" s="4" t="n">
        <v>2</v>
      </c>
      <c r="E437" s="6" t="s">
        <v>42</v>
      </c>
      <c r="F437" s="1" t="s">
        <v>23</v>
      </c>
      <c r="G437" s="1" t="n">
        <v>60.76</v>
      </c>
      <c r="H437" s="1" t="n">
        <v>50.01</v>
      </c>
      <c r="I437" s="1" t="n">
        <v>23.07</v>
      </c>
      <c r="J437" s="1" t="n">
        <v>1</v>
      </c>
      <c r="K437" s="1" t="n">
        <v>0.0116225</v>
      </c>
      <c r="L437" s="5" t="n">
        <v>0.0006131</v>
      </c>
      <c r="M437" s="1" t="n">
        <v>5.275</v>
      </c>
      <c r="N437" s="1" t="n">
        <v>4.139</v>
      </c>
      <c r="O437" s="1" t="n">
        <v>3.27</v>
      </c>
      <c r="P437" s="1" t="n">
        <v>0.8396</v>
      </c>
      <c r="Q437" s="1" t="n">
        <v>38.31</v>
      </c>
      <c r="R437" s="1" t="n">
        <v>-0.02747</v>
      </c>
      <c r="S437" s="1" t="n">
        <v>0.5</v>
      </c>
      <c r="T437" s="5" t="n">
        <v>1.027E-008</v>
      </c>
      <c r="U437" s="5" t="n">
        <v>3.874E-006</v>
      </c>
      <c r="V437" s="1" t="n">
        <v>28.27</v>
      </c>
    </row>
    <row r="438" customFormat="false" ht="12.8" hidden="false" customHeight="false" outlineLevel="0" collapsed="false">
      <c r="A438" s="1" t="n">
        <v>3</v>
      </c>
      <c r="B438" s="4" t="s">
        <v>39</v>
      </c>
      <c r="C438" s="4" t="str">
        <f aca="false">IF(LEFT(E438,2)="S5","Spritz","Standard")</f>
        <v>Standard</v>
      </c>
      <c r="D438" s="4" t="n">
        <v>2</v>
      </c>
      <c r="E438" s="6" t="s">
        <v>42</v>
      </c>
      <c r="F438" s="1" t="s">
        <v>23</v>
      </c>
      <c r="G438" s="1" t="n">
        <v>85.78</v>
      </c>
      <c r="H438" s="1" t="n">
        <v>75.03</v>
      </c>
      <c r="I438" s="1" t="n">
        <v>23.05</v>
      </c>
      <c r="J438" s="1" t="n">
        <v>1</v>
      </c>
      <c r="K438" s="1" t="n">
        <v>0.0159366</v>
      </c>
      <c r="L438" s="5" t="n">
        <v>0.000857</v>
      </c>
      <c r="M438" s="1" t="n">
        <v>5.378</v>
      </c>
      <c r="N438" s="1" t="n">
        <v>4.375</v>
      </c>
      <c r="O438" s="1" t="n">
        <v>3.128</v>
      </c>
      <c r="P438" s="1" t="n">
        <v>0.8559</v>
      </c>
      <c r="Q438" s="1" t="n">
        <v>35.56</v>
      </c>
      <c r="R438" s="1" t="n">
        <v>-0.02746</v>
      </c>
      <c r="S438" s="1" t="n">
        <v>0.5</v>
      </c>
      <c r="T438" s="5" t="n">
        <v>1.436E-008</v>
      </c>
      <c r="U438" s="5" t="n">
        <v>5.312E-006</v>
      </c>
      <c r="V438" s="1" t="n">
        <v>14.43</v>
      </c>
    </row>
    <row r="439" customFormat="false" ht="12.8" hidden="false" customHeight="false" outlineLevel="0" collapsed="false">
      <c r="A439" s="1" t="n">
        <v>4</v>
      </c>
      <c r="B439" s="4" t="s">
        <v>39</v>
      </c>
      <c r="C439" s="4" t="str">
        <f aca="false">IF(LEFT(E439,2)="S5","Spritz","Standard")</f>
        <v>Standard</v>
      </c>
      <c r="D439" s="4" t="n">
        <v>2</v>
      </c>
      <c r="E439" s="6" t="s">
        <v>42</v>
      </c>
      <c r="F439" s="1" t="s">
        <v>23</v>
      </c>
      <c r="G439" s="1" t="n">
        <v>110.8</v>
      </c>
      <c r="H439" s="1" t="n">
        <v>100</v>
      </c>
      <c r="I439" s="1" t="n">
        <v>23.04</v>
      </c>
      <c r="J439" s="1" t="n">
        <v>1</v>
      </c>
      <c r="K439" s="1" t="n">
        <v>0.0205241</v>
      </c>
      <c r="L439" s="5" t="n">
        <v>0.001144</v>
      </c>
      <c r="M439" s="1" t="n">
        <v>5.573</v>
      </c>
      <c r="N439" s="1" t="n">
        <v>4.36</v>
      </c>
      <c r="O439" s="1" t="n">
        <v>3.472</v>
      </c>
      <c r="P439" s="1" t="n">
        <v>0.887</v>
      </c>
      <c r="Q439" s="1" t="n">
        <v>38.53</v>
      </c>
      <c r="R439" s="1" t="n">
        <v>-0.02734</v>
      </c>
      <c r="S439" s="1" t="n">
        <v>0.5</v>
      </c>
      <c r="T439" s="5" t="n">
        <v>1.916E-008</v>
      </c>
      <c r="U439" s="5" t="n">
        <v>6.842E-006</v>
      </c>
      <c r="V439" s="1" t="n">
        <v>15.08</v>
      </c>
    </row>
    <row r="440" customFormat="false" ht="12.8" hidden="false" customHeight="false" outlineLevel="0" collapsed="false">
      <c r="A440" s="1" t="n">
        <v>5</v>
      </c>
      <c r="B440" s="4" t="s">
        <v>39</v>
      </c>
      <c r="C440" s="4" t="str">
        <f aca="false">IF(LEFT(E440,2)="S5","Spritz","Standard")</f>
        <v>Standard</v>
      </c>
      <c r="D440" s="4" t="n">
        <v>2</v>
      </c>
      <c r="E440" s="6" t="s">
        <v>42</v>
      </c>
      <c r="F440" s="1" t="s">
        <v>23</v>
      </c>
      <c r="G440" s="1" t="n">
        <v>135.8</v>
      </c>
      <c r="H440" s="1" t="n">
        <v>125.1</v>
      </c>
      <c r="I440" s="1" t="n">
        <v>23.03</v>
      </c>
      <c r="J440" s="1" t="n">
        <v>1</v>
      </c>
      <c r="K440" s="1" t="n">
        <v>0.024262</v>
      </c>
      <c r="L440" s="5" t="n">
        <v>0.001277</v>
      </c>
      <c r="M440" s="1" t="n">
        <v>5.263</v>
      </c>
      <c r="N440" s="1" t="n">
        <v>4.341</v>
      </c>
      <c r="O440" s="1" t="n">
        <v>2.976</v>
      </c>
      <c r="P440" s="1" t="n">
        <v>0.8376</v>
      </c>
      <c r="Q440" s="1" t="n">
        <v>34.43</v>
      </c>
      <c r="R440" s="1" t="n">
        <v>-0.02709</v>
      </c>
      <c r="S440" s="1" t="n">
        <v>0.5</v>
      </c>
      <c r="T440" s="5" t="n">
        <v>2.139E-008</v>
      </c>
      <c r="U440" s="5" t="n">
        <v>8.088E-006</v>
      </c>
      <c r="V440" s="1" t="n">
        <v>11.35</v>
      </c>
    </row>
    <row r="441" customFormat="false" ht="12.8" hidden="false" customHeight="false" outlineLevel="0" collapsed="false">
      <c r="A441" s="1" t="n">
        <v>6</v>
      </c>
      <c r="B441" s="4" t="s">
        <v>39</v>
      </c>
      <c r="C441" s="4" t="str">
        <f aca="false">IF(LEFT(E441,2)="S5","Spritz","Standard")</f>
        <v>Standard</v>
      </c>
      <c r="D441" s="4" t="n">
        <v>2</v>
      </c>
      <c r="E441" s="6" t="s">
        <v>42</v>
      </c>
      <c r="F441" s="1" t="s">
        <v>23</v>
      </c>
      <c r="G441" s="1" t="n">
        <v>160.8</v>
      </c>
      <c r="H441" s="1" t="n">
        <v>150.1</v>
      </c>
      <c r="I441" s="1" t="n">
        <v>23.02</v>
      </c>
      <c r="J441" s="1" t="n">
        <v>1</v>
      </c>
      <c r="K441" s="1" t="n">
        <v>0.0308114</v>
      </c>
      <c r="L441" s="5" t="n">
        <v>0.001595</v>
      </c>
      <c r="M441" s="1" t="n">
        <v>5.178</v>
      </c>
      <c r="N441" s="1" t="n">
        <v>4.269</v>
      </c>
      <c r="O441" s="1" t="n">
        <v>2.93</v>
      </c>
      <c r="P441" s="1" t="n">
        <v>0.824</v>
      </c>
      <c r="Q441" s="1" t="n">
        <v>34.47</v>
      </c>
      <c r="R441" s="1" t="n">
        <v>-0.0271</v>
      </c>
      <c r="S441" s="1" t="n">
        <v>0.5</v>
      </c>
      <c r="T441" s="5" t="n">
        <v>2.673E-008</v>
      </c>
      <c r="U441" s="5" t="n">
        <v>1.027E-005</v>
      </c>
      <c r="V441" s="1" t="n">
        <v>14.51</v>
      </c>
    </row>
    <row r="442" customFormat="false" ht="12.8" hidden="false" customHeight="false" outlineLevel="0" collapsed="false">
      <c r="A442" s="1" t="n">
        <v>7</v>
      </c>
      <c r="B442" s="4" t="s">
        <v>39</v>
      </c>
      <c r="C442" s="4" t="str">
        <f aca="false">IF(LEFT(E442,2)="S5","Spritz","Standard")</f>
        <v>Standard</v>
      </c>
      <c r="D442" s="4" t="n">
        <v>2</v>
      </c>
      <c r="E442" s="6" t="s">
        <v>42</v>
      </c>
      <c r="F442" s="1" t="s">
        <v>23</v>
      </c>
      <c r="G442" s="1" t="n">
        <v>185.8</v>
      </c>
      <c r="H442" s="1" t="n">
        <v>175.1</v>
      </c>
      <c r="I442" s="1" t="n">
        <v>23.01</v>
      </c>
      <c r="J442" s="1" t="n">
        <v>1</v>
      </c>
      <c r="K442" s="1" t="n">
        <v>0.0408741</v>
      </c>
      <c r="L442" s="5" t="n">
        <v>0.002085</v>
      </c>
      <c r="M442" s="1" t="n">
        <v>5.1</v>
      </c>
      <c r="N442" s="1" t="n">
        <v>4.404</v>
      </c>
      <c r="O442" s="1" t="n">
        <v>2.571</v>
      </c>
      <c r="P442" s="1" t="n">
        <v>0.8117</v>
      </c>
      <c r="Q442" s="1" t="n">
        <v>30.27</v>
      </c>
      <c r="R442" s="1" t="n">
        <v>-0.02689</v>
      </c>
      <c r="S442" s="1" t="n">
        <v>0.5</v>
      </c>
      <c r="T442" s="5" t="n">
        <v>3.492E-008</v>
      </c>
      <c r="U442" s="5" t="n">
        <v>1.363E-005</v>
      </c>
      <c r="V442" s="1" t="n">
        <v>11.19</v>
      </c>
    </row>
    <row r="443" customFormat="false" ht="12.8" hidden="false" customHeight="false" outlineLevel="0" collapsed="false">
      <c r="A443" s="1" t="n">
        <v>8</v>
      </c>
      <c r="B443" s="4" t="s">
        <v>39</v>
      </c>
      <c r="C443" s="4" t="str">
        <f aca="false">IF(LEFT(E443,2)="S5","Spritz","Standard")</f>
        <v>Standard</v>
      </c>
      <c r="D443" s="4" t="n">
        <v>2</v>
      </c>
      <c r="E443" s="6" t="s">
        <v>42</v>
      </c>
      <c r="F443" s="1" t="s">
        <v>23</v>
      </c>
      <c r="G443" s="1" t="n">
        <v>210.8</v>
      </c>
      <c r="H443" s="1" t="n">
        <v>200.1</v>
      </c>
      <c r="I443" s="1" t="n">
        <v>23</v>
      </c>
      <c r="J443" s="1" t="n">
        <v>1</v>
      </c>
      <c r="K443" s="1" t="n">
        <v>0.0498699</v>
      </c>
      <c r="L443" s="5" t="n">
        <v>0.002458</v>
      </c>
      <c r="M443" s="1" t="n">
        <v>4.929</v>
      </c>
      <c r="N443" s="1" t="n">
        <v>4.284</v>
      </c>
      <c r="O443" s="1" t="n">
        <v>2.438</v>
      </c>
      <c r="P443" s="1" t="n">
        <v>0.7845</v>
      </c>
      <c r="Q443" s="1" t="n">
        <v>29.64</v>
      </c>
      <c r="R443" s="1" t="n">
        <v>-0.02689</v>
      </c>
      <c r="S443" s="1" t="n">
        <v>0.5</v>
      </c>
      <c r="T443" s="5" t="n">
        <v>4.118E-008</v>
      </c>
      <c r="U443" s="5" t="n">
        <v>1.662E-005</v>
      </c>
      <c r="V443" s="1" t="n">
        <v>12.78</v>
      </c>
    </row>
    <row r="444" customFormat="false" ht="12.8" hidden="false" customHeight="false" outlineLevel="0" collapsed="false">
      <c r="A444" s="1" t="n">
        <v>9</v>
      </c>
      <c r="B444" s="4" t="s">
        <v>39</v>
      </c>
      <c r="C444" s="4" t="str">
        <f aca="false">IF(LEFT(E444,2)="S5","Spritz","Standard")</f>
        <v>Standard</v>
      </c>
      <c r="D444" s="4" t="n">
        <v>2</v>
      </c>
      <c r="E444" s="6" t="s">
        <v>42</v>
      </c>
      <c r="F444" s="1" t="s">
        <v>23</v>
      </c>
      <c r="G444" s="1" t="n">
        <v>235.9</v>
      </c>
      <c r="H444" s="1" t="n">
        <v>225.1</v>
      </c>
      <c r="I444" s="1" t="n">
        <v>23</v>
      </c>
      <c r="J444" s="1" t="n">
        <v>1</v>
      </c>
      <c r="K444" s="1" t="n">
        <v>0.0621952</v>
      </c>
      <c r="L444" s="5" t="n">
        <v>0.00296</v>
      </c>
      <c r="M444" s="1" t="n">
        <v>4.76</v>
      </c>
      <c r="N444" s="1" t="n">
        <v>4.238</v>
      </c>
      <c r="O444" s="1" t="n">
        <v>2.167</v>
      </c>
      <c r="P444" s="1" t="n">
        <v>0.7576</v>
      </c>
      <c r="Q444" s="1" t="n">
        <v>27.08</v>
      </c>
      <c r="R444" s="1" t="n">
        <v>-0.02744</v>
      </c>
      <c r="S444" s="1" t="n">
        <v>0.5</v>
      </c>
      <c r="T444" s="5" t="n">
        <v>4.96E-008</v>
      </c>
      <c r="U444" s="5" t="n">
        <v>2.073E-005</v>
      </c>
      <c r="V444" s="1" t="n">
        <v>11.72</v>
      </c>
    </row>
    <row r="445" customFormat="false" ht="12.8" hidden="false" customHeight="false" outlineLevel="0" collapsed="false">
      <c r="A445" s="1" t="n">
        <v>10</v>
      </c>
      <c r="B445" s="4" t="s">
        <v>39</v>
      </c>
      <c r="C445" s="4" t="str">
        <f aca="false">IF(LEFT(E445,2)="S5","Spritz","Standard")</f>
        <v>Standard</v>
      </c>
      <c r="D445" s="4" t="n">
        <v>2</v>
      </c>
      <c r="E445" s="6" t="s">
        <v>42</v>
      </c>
      <c r="F445" s="1" t="s">
        <v>23</v>
      </c>
      <c r="G445" s="1" t="n">
        <v>260.9</v>
      </c>
      <c r="H445" s="1" t="n">
        <v>250.1</v>
      </c>
      <c r="I445" s="1" t="n">
        <v>22.99</v>
      </c>
      <c r="J445" s="1" t="n">
        <v>1</v>
      </c>
      <c r="K445" s="1" t="n">
        <v>0.0801064</v>
      </c>
      <c r="L445" s="5" t="n">
        <v>0.003614</v>
      </c>
      <c r="M445" s="1" t="n">
        <v>4.511</v>
      </c>
      <c r="N445" s="1" t="n">
        <v>4.087</v>
      </c>
      <c r="O445" s="1" t="n">
        <v>1.91</v>
      </c>
      <c r="P445" s="1" t="n">
        <v>0.718</v>
      </c>
      <c r="Q445" s="1" t="n">
        <v>25.05</v>
      </c>
      <c r="R445" s="1" t="n">
        <v>-0.02644</v>
      </c>
      <c r="S445" s="1" t="n">
        <v>0.5</v>
      </c>
      <c r="T445" s="5" t="n">
        <v>6.054E-008</v>
      </c>
      <c r="U445" s="5" t="n">
        <v>2.67E-005</v>
      </c>
      <c r="V445" s="1" t="n">
        <v>12.61</v>
      </c>
    </row>
    <row r="446" customFormat="false" ht="12.8" hidden="false" customHeight="false" outlineLevel="0" collapsed="false">
      <c r="A446" s="1" t="n">
        <v>11</v>
      </c>
      <c r="B446" s="4" t="s">
        <v>39</v>
      </c>
      <c r="C446" s="4" t="str">
        <f aca="false">IF(LEFT(E446,2)="S5","Spritz","Standard")</f>
        <v>Standard</v>
      </c>
      <c r="D446" s="4" t="n">
        <v>2</v>
      </c>
      <c r="E446" s="6" t="s">
        <v>42</v>
      </c>
      <c r="F446" s="1" t="s">
        <v>23</v>
      </c>
      <c r="G446" s="1" t="n">
        <v>285.9</v>
      </c>
      <c r="H446" s="1" t="n">
        <v>275.1</v>
      </c>
      <c r="I446" s="1" t="n">
        <v>22.99</v>
      </c>
      <c r="J446" s="1" t="n">
        <v>1</v>
      </c>
      <c r="K446" s="1" t="n">
        <v>0.0989708</v>
      </c>
      <c r="L446" s="5" t="n">
        <v>0.0043</v>
      </c>
      <c r="M446" s="1" t="n">
        <v>4.345</v>
      </c>
      <c r="N446" s="1" t="n">
        <v>4.005</v>
      </c>
      <c r="O446" s="1" t="n">
        <v>1.684</v>
      </c>
      <c r="P446" s="1" t="n">
        <v>0.6915</v>
      </c>
      <c r="Q446" s="1" t="n">
        <v>22.81</v>
      </c>
      <c r="R446" s="1" t="n">
        <v>-0.0275</v>
      </c>
      <c r="S446" s="1" t="n">
        <v>0.5</v>
      </c>
      <c r="T446" s="5" t="n">
        <v>7.204E-008</v>
      </c>
      <c r="U446" s="5" t="n">
        <v>3.299E-005</v>
      </c>
      <c r="V446" s="1" t="n">
        <v>9.949</v>
      </c>
    </row>
    <row r="447" customFormat="false" ht="12.8" hidden="false" customHeight="false" outlineLevel="0" collapsed="false">
      <c r="A447" s="1" t="n">
        <v>12</v>
      </c>
      <c r="B447" s="4" t="s">
        <v>39</v>
      </c>
      <c r="C447" s="4" t="str">
        <f aca="false">IF(LEFT(E447,2)="S5","Spritz","Standard")</f>
        <v>Standard</v>
      </c>
      <c r="D447" s="4" t="n">
        <v>2</v>
      </c>
      <c r="E447" s="6" t="s">
        <v>42</v>
      </c>
      <c r="F447" s="1" t="s">
        <v>23</v>
      </c>
      <c r="G447" s="1" t="n">
        <v>310.9</v>
      </c>
      <c r="H447" s="1" t="n">
        <v>300.2</v>
      </c>
      <c r="I447" s="1" t="n">
        <v>22.99</v>
      </c>
      <c r="J447" s="1" t="n">
        <v>1</v>
      </c>
      <c r="K447" s="1" t="n">
        <v>0.126467</v>
      </c>
      <c r="L447" s="5" t="n">
        <v>0.005326</v>
      </c>
      <c r="M447" s="1" t="n">
        <v>4.211</v>
      </c>
      <c r="N447" s="1" t="n">
        <v>3.922</v>
      </c>
      <c r="O447" s="1" t="n">
        <v>1.534</v>
      </c>
      <c r="P447" s="1" t="n">
        <v>0.6703</v>
      </c>
      <c r="Q447" s="1" t="n">
        <v>21.35</v>
      </c>
      <c r="R447" s="1" t="n">
        <v>-0.02715</v>
      </c>
      <c r="S447" s="1" t="n">
        <v>0.5</v>
      </c>
      <c r="T447" s="5" t="n">
        <v>8.923E-008</v>
      </c>
      <c r="U447" s="5" t="n">
        <v>4.216E-005</v>
      </c>
      <c r="V447" s="1" t="n">
        <v>6.924</v>
      </c>
    </row>
    <row r="448" customFormat="false" ht="12.8" hidden="false" customHeight="false" outlineLevel="0" collapsed="false">
      <c r="A448" s="1" t="n">
        <v>13</v>
      </c>
      <c r="B448" s="4" t="s">
        <v>39</v>
      </c>
      <c r="C448" s="4" t="str">
        <f aca="false">IF(LEFT(E448,2)="S5","Spritz","Standard")</f>
        <v>Standard</v>
      </c>
      <c r="D448" s="4" t="n">
        <v>2</v>
      </c>
      <c r="E448" s="6" t="s">
        <v>42</v>
      </c>
      <c r="F448" s="1" t="s">
        <v>23</v>
      </c>
      <c r="G448" s="1" t="n">
        <v>335.9</v>
      </c>
      <c r="H448" s="1" t="n">
        <v>325.2</v>
      </c>
      <c r="I448" s="1" t="n">
        <v>22.99</v>
      </c>
      <c r="J448" s="1" t="n">
        <v>1</v>
      </c>
      <c r="K448" s="1" t="n">
        <v>0.158762</v>
      </c>
      <c r="L448" s="5" t="n">
        <v>0.006376</v>
      </c>
      <c r="M448" s="1" t="n">
        <v>4.016</v>
      </c>
      <c r="N448" s="1" t="n">
        <v>3.782</v>
      </c>
      <c r="O448" s="1" t="n">
        <v>1.35</v>
      </c>
      <c r="P448" s="1" t="n">
        <v>0.6392</v>
      </c>
      <c r="Q448" s="1" t="n">
        <v>19.64</v>
      </c>
      <c r="R448" s="1" t="n">
        <v>-0.02744</v>
      </c>
      <c r="S448" s="1" t="n">
        <v>0.5</v>
      </c>
      <c r="T448" s="5" t="n">
        <v>1.068E-007</v>
      </c>
      <c r="U448" s="5" t="n">
        <v>5.292E-005</v>
      </c>
      <c r="V448" s="1" t="n">
        <v>6.815</v>
      </c>
    </row>
    <row r="449" customFormat="false" ht="12.8" hidden="false" customHeight="false" outlineLevel="0" collapsed="false">
      <c r="A449" s="1" t="n">
        <v>14</v>
      </c>
      <c r="B449" s="4" t="s">
        <v>39</v>
      </c>
      <c r="C449" s="4" t="str">
        <f aca="false">IF(LEFT(E449,2)="S5","Spritz","Standard")</f>
        <v>Standard</v>
      </c>
      <c r="D449" s="4" t="n">
        <v>2</v>
      </c>
      <c r="E449" s="6" t="s">
        <v>42</v>
      </c>
      <c r="F449" s="1" t="s">
        <v>23</v>
      </c>
      <c r="G449" s="1" t="n">
        <v>360.9</v>
      </c>
      <c r="H449" s="1" t="n">
        <v>350.2</v>
      </c>
      <c r="I449" s="1" t="n">
        <v>22.99</v>
      </c>
      <c r="J449" s="1" t="n">
        <v>1</v>
      </c>
      <c r="K449" s="1" t="n">
        <v>0.198662</v>
      </c>
      <c r="L449" s="5" t="n">
        <v>0.007738</v>
      </c>
      <c r="M449" s="1" t="n">
        <v>3.895</v>
      </c>
      <c r="N449" s="1" t="n">
        <v>3.71</v>
      </c>
      <c r="O449" s="1" t="n">
        <v>1.185</v>
      </c>
      <c r="P449" s="1" t="n">
        <v>0.6199</v>
      </c>
      <c r="Q449" s="1" t="n">
        <v>17.72</v>
      </c>
      <c r="R449" s="1" t="n">
        <v>-0.02675</v>
      </c>
      <c r="S449" s="1" t="n">
        <v>0.5</v>
      </c>
      <c r="T449" s="5" t="n">
        <v>1.296E-007</v>
      </c>
      <c r="U449" s="5" t="n">
        <v>6.622E-005</v>
      </c>
      <c r="V449" s="1" t="n">
        <v>4.453</v>
      </c>
    </row>
    <row r="450" customFormat="false" ht="12.8" hidden="false" customHeight="false" outlineLevel="0" collapsed="false">
      <c r="A450" s="1" t="n">
        <v>15</v>
      </c>
      <c r="B450" s="4" t="s">
        <v>39</v>
      </c>
      <c r="C450" s="4" t="str">
        <f aca="false">IF(LEFT(E450,2)="S5","Spritz","Standard")</f>
        <v>Standard</v>
      </c>
      <c r="D450" s="4" t="n">
        <v>2</v>
      </c>
      <c r="E450" s="6" t="s">
        <v>42</v>
      </c>
      <c r="F450" s="1" t="s">
        <v>23</v>
      </c>
      <c r="G450" s="1" t="n">
        <v>385.9</v>
      </c>
      <c r="H450" s="1" t="n">
        <v>375.2</v>
      </c>
      <c r="I450" s="1" t="n">
        <v>22.99</v>
      </c>
      <c r="J450" s="1" t="n">
        <v>1</v>
      </c>
      <c r="K450" s="1" t="n">
        <v>0.251985</v>
      </c>
      <c r="L450" s="5" t="n">
        <v>0.009453</v>
      </c>
      <c r="M450" s="1" t="n">
        <v>3.752</v>
      </c>
      <c r="N450" s="1" t="n">
        <v>3.598</v>
      </c>
      <c r="O450" s="1" t="n">
        <v>1.062</v>
      </c>
      <c r="P450" s="1" t="n">
        <v>0.5971</v>
      </c>
      <c r="Q450" s="1" t="n">
        <v>16.45</v>
      </c>
      <c r="R450" s="1" t="n">
        <v>-0.02773</v>
      </c>
      <c r="S450" s="1" t="n">
        <v>0.5</v>
      </c>
      <c r="T450" s="5" t="n">
        <v>1.584E-007</v>
      </c>
      <c r="U450" s="5" t="n">
        <v>8.4E-005</v>
      </c>
      <c r="V450" s="1" t="n">
        <v>4.503</v>
      </c>
    </row>
    <row r="451" customFormat="false" ht="12.8" hidden="false" customHeight="false" outlineLevel="0" collapsed="false">
      <c r="A451" s="1" t="n">
        <v>16</v>
      </c>
      <c r="B451" s="4" t="s">
        <v>39</v>
      </c>
      <c r="C451" s="4" t="str">
        <f aca="false">IF(LEFT(E451,2)="S5","Spritz","Standard")</f>
        <v>Standard</v>
      </c>
      <c r="D451" s="4" t="n">
        <v>2</v>
      </c>
      <c r="E451" s="6" t="s">
        <v>42</v>
      </c>
      <c r="F451" s="1" t="s">
        <v>23</v>
      </c>
      <c r="G451" s="1" t="n">
        <v>411</v>
      </c>
      <c r="H451" s="1" t="n">
        <v>400.2</v>
      </c>
      <c r="I451" s="1" t="n">
        <v>22.99</v>
      </c>
      <c r="J451" s="1" t="n">
        <v>1</v>
      </c>
      <c r="K451" s="1" t="n">
        <v>0.31657</v>
      </c>
      <c r="L451" s="1" t="n">
        <v>0.01142</v>
      </c>
      <c r="M451" s="1" t="n">
        <v>3.609</v>
      </c>
      <c r="N451" s="1" t="n">
        <v>3.475</v>
      </c>
      <c r="O451" s="1" t="n">
        <v>0.9718</v>
      </c>
      <c r="P451" s="1" t="n">
        <v>0.5743</v>
      </c>
      <c r="Q451" s="1" t="n">
        <v>15.62</v>
      </c>
      <c r="R451" s="1" t="n">
        <v>-0.02743</v>
      </c>
      <c r="S451" s="1" t="n">
        <v>0.5</v>
      </c>
      <c r="T451" s="5" t="n">
        <v>1.914E-007</v>
      </c>
      <c r="U451" s="5" t="n">
        <v>0.0001055</v>
      </c>
      <c r="V451" s="1" t="n">
        <v>4.934</v>
      </c>
    </row>
    <row r="452" customFormat="false" ht="12.8" hidden="false" customHeight="false" outlineLevel="0" collapsed="false">
      <c r="A452" s="1" t="n">
        <v>17</v>
      </c>
      <c r="B452" s="4" t="s">
        <v>39</v>
      </c>
      <c r="C452" s="4" t="str">
        <f aca="false">IF(LEFT(E452,2)="S5","Spritz","Standard")</f>
        <v>Standard</v>
      </c>
      <c r="D452" s="4" t="n">
        <v>2</v>
      </c>
      <c r="E452" s="6" t="s">
        <v>42</v>
      </c>
      <c r="F452" s="1" t="s">
        <v>23</v>
      </c>
      <c r="G452" s="1" t="n">
        <v>436</v>
      </c>
      <c r="H452" s="1" t="n">
        <v>425.2</v>
      </c>
      <c r="I452" s="1" t="n">
        <v>23</v>
      </c>
      <c r="J452" s="1" t="n">
        <v>1</v>
      </c>
      <c r="K452" s="1" t="n">
        <v>0.397699</v>
      </c>
      <c r="L452" s="1" t="n">
        <v>0.01374</v>
      </c>
      <c r="M452" s="1" t="n">
        <v>3.455</v>
      </c>
      <c r="N452" s="1" t="n">
        <v>3.336</v>
      </c>
      <c r="O452" s="1" t="n">
        <v>0.8996</v>
      </c>
      <c r="P452" s="1" t="n">
        <v>0.5499</v>
      </c>
      <c r="Q452" s="1" t="n">
        <v>15.09</v>
      </c>
      <c r="R452" s="1" t="n">
        <v>-0.0268</v>
      </c>
      <c r="S452" s="1" t="n">
        <v>0.5</v>
      </c>
      <c r="T452" s="5" t="n">
        <v>2.302E-007</v>
      </c>
      <c r="U452" s="5" t="n">
        <v>0.0001326</v>
      </c>
      <c r="V452" s="1" t="n">
        <v>4.985</v>
      </c>
    </row>
    <row r="453" customFormat="false" ht="12.8" hidden="false" customHeight="false" outlineLevel="0" collapsed="false">
      <c r="A453" s="1" t="n">
        <v>18</v>
      </c>
      <c r="B453" s="4" t="s">
        <v>39</v>
      </c>
      <c r="C453" s="4" t="str">
        <f aca="false">IF(LEFT(E453,2)="S5","Spritz","Standard")</f>
        <v>Standard</v>
      </c>
      <c r="D453" s="4" t="n">
        <v>2</v>
      </c>
      <c r="E453" s="6" t="s">
        <v>42</v>
      </c>
      <c r="F453" s="1" t="s">
        <v>23</v>
      </c>
      <c r="G453" s="1" t="n">
        <v>461</v>
      </c>
      <c r="H453" s="1" t="n">
        <v>450.2</v>
      </c>
      <c r="I453" s="1" t="n">
        <v>22.99</v>
      </c>
      <c r="J453" s="1" t="n">
        <v>1</v>
      </c>
      <c r="K453" s="1" t="n">
        <v>0.501542</v>
      </c>
      <c r="L453" s="1" t="n">
        <v>0.01651</v>
      </c>
      <c r="M453" s="1" t="n">
        <v>3.291</v>
      </c>
      <c r="N453" s="1" t="n">
        <v>3.179</v>
      </c>
      <c r="O453" s="1" t="n">
        <v>0.8518</v>
      </c>
      <c r="P453" s="1" t="n">
        <v>0.5239</v>
      </c>
      <c r="Q453" s="1" t="n">
        <v>15</v>
      </c>
      <c r="R453" s="1" t="n">
        <v>-0.02662</v>
      </c>
      <c r="S453" s="1" t="n">
        <v>0.5</v>
      </c>
      <c r="T453" s="5" t="n">
        <v>2.766E-007</v>
      </c>
      <c r="U453" s="5" t="n">
        <v>0.0001672</v>
      </c>
      <c r="V453" s="1" t="n">
        <v>4.634</v>
      </c>
    </row>
    <row r="454" customFormat="false" ht="12.8" hidden="false" customHeight="false" outlineLevel="0" collapsed="false">
      <c r="A454" s="1" t="n">
        <v>19</v>
      </c>
      <c r="B454" s="4" t="s">
        <v>39</v>
      </c>
      <c r="C454" s="4" t="str">
        <f aca="false">IF(LEFT(E454,2)="S5","Spritz","Standard")</f>
        <v>Standard</v>
      </c>
      <c r="D454" s="4" t="n">
        <v>2</v>
      </c>
      <c r="E454" s="6" t="s">
        <v>42</v>
      </c>
      <c r="F454" s="1" t="s">
        <v>23</v>
      </c>
      <c r="G454" s="1" t="n">
        <v>486</v>
      </c>
      <c r="H454" s="1" t="n">
        <v>475.3</v>
      </c>
      <c r="I454" s="1" t="n">
        <v>23</v>
      </c>
      <c r="J454" s="1" t="n">
        <v>1</v>
      </c>
      <c r="K454" s="1" t="n">
        <v>0.631261</v>
      </c>
      <c r="L454" s="1" t="n">
        <v>0.01965</v>
      </c>
      <c r="M454" s="1" t="n">
        <v>3.113</v>
      </c>
      <c r="N454" s="1" t="n">
        <v>3.005</v>
      </c>
      <c r="O454" s="1" t="n">
        <v>0.8149</v>
      </c>
      <c r="P454" s="1" t="n">
        <v>0.4955</v>
      </c>
      <c r="Q454" s="1" t="n">
        <v>15.17</v>
      </c>
      <c r="R454" s="1" t="n">
        <v>-0.0271</v>
      </c>
      <c r="S454" s="1" t="n">
        <v>0.5</v>
      </c>
      <c r="T454" s="5" t="n">
        <v>3.292E-007</v>
      </c>
      <c r="U454" s="5" t="n">
        <v>0.0002104</v>
      </c>
      <c r="V454" s="1" t="n">
        <v>4.244</v>
      </c>
    </row>
    <row r="455" customFormat="false" ht="12.8" hidden="false" customHeight="false" outlineLevel="0" collapsed="false">
      <c r="A455" s="1" t="n">
        <v>20</v>
      </c>
      <c r="B455" s="4" t="s">
        <v>39</v>
      </c>
      <c r="C455" s="4" t="str">
        <f aca="false">IF(LEFT(E455,2)="S5","Spritz","Standard")</f>
        <v>Standard</v>
      </c>
      <c r="D455" s="4" t="n">
        <v>2</v>
      </c>
      <c r="E455" s="6" t="s">
        <v>42</v>
      </c>
      <c r="F455" s="1" t="s">
        <v>23</v>
      </c>
      <c r="G455" s="1" t="n">
        <v>511</v>
      </c>
      <c r="H455" s="1" t="n">
        <v>500.3</v>
      </c>
      <c r="I455" s="1" t="n">
        <v>23</v>
      </c>
      <c r="J455" s="1" t="n">
        <v>1</v>
      </c>
      <c r="K455" s="1" t="n">
        <v>0.794028</v>
      </c>
      <c r="L455" s="1" t="n">
        <v>0.02318</v>
      </c>
      <c r="M455" s="1" t="n">
        <v>2.919</v>
      </c>
      <c r="N455" s="1" t="n">
        <v>2.813</v>
      </c>
      <c r="O455" s="1" t="n">
        <v>0.782</v>
      </c>
      <c r="P455" s="1" t="n">
        <v>0.4646</v>
      </c>
      <c r="Q455" s="1" t="n">
        <v>15.54</v>
      </c>
      <c r="R455" s="1" t="n">
        <v>-0.02717</v>
      </c>
      <c r="S455" s="1" t="n">
        <v>0.5</v>
      </c>
      <c r="T455" s="5" t="n">
        <v>3.884E-007</v>
      </c>
      <c r="U455" s="5" t="n">
        <v>0.0002647</v>
      </c>
      <c r="V455" s="1" t="n">
        <v>5.022</v>
      </c>
    </row>
    <row r="456" customFormat="false" ht="12.8" hidden="false" customHeight="false" outlineLevel="0" collapsed="false">
      <c r="A456" s="1" t="n">
        <v>21</v>
      </c>
      <c r="B456" s="4" t="s">
        <v>39</v>
      </c>
      <c r="C456" s="4" t="str">
        <f aca="false">IF(LEFT(E456,2)="S5","Spritz","Standard")</f>
        <v>Standard</v>
      </c>
      <c r="D456" s="4" t="n">
        <v>2</v>
      </c>
      <c r="E456" s="6" t="s">
        <v>42</v>
      </c>
      <c r="F456" s="1" t="s">
        <v>23</v>
      </c>
      <c r="G456" s="1" t="n">
        <v>536</v>
      </c>
      <c r="H456" s="1" t="n">
        <v>525.3</v>
      </c>
      <c r="I456" s="1" t="n">
        <v>23</v>
      </c>
      <c r="J456" s="1" t="n">
        <v>1</v>
      </c>
      <c r="K456" s="1" t="n">
        <v>1.00117</v>
      </c>
      <c r="L456" s="1" t="n">
        <v>0.02732</v>
      </c>
      <c r="M456" s="1" t="n">
        <v>2.729</v>
      </c>
      <c r="N456" s="1" t="n">
        <v>2.621</v>
      </c>
      <c r="O456" s="1" t="n">
        <v>0.7599</v>
      </c>
      <c r="P456" s="1" t="n">
        <v>0.4344</v>
      </c>
      <c r="Q456" s="1" t="n">
        <v>16.17</v>
      </c>
      <c r="R456" s="1" t="n">
        <v>-0.02756</v>
      </c>
      <c r="S456" s="1" t="n">
        <v>0.5</v>
      </c>
      <c r="T456" s="5" t="n">
        <v>4.578E-007</v>
      </c>
      <c r="U456" s="5" t="n">
        <v>0.0003337</v>
      </c>
      <c r="V456" s="1" t="n">
        <v>5.074</v>
      </c>
    </row>
    <row r="457" customFormat="false" ht="12.8" hidden="false" customHeight="false" outlineLevel="0" collapsed="false">
      <c r="A457" s="1" t="n">
        <v>22</v>
      </c>
      <c r="B457" s="4" t="s">
        <v>39</v>
      </c>
      <c r="C457" s="4" t="str">
        <f aca="false">IF(LEFT(E457,2)="S5","Spritz","Standard")</f>
        <v>Standard</v>
      </c>
      <c r="D457" s="4" t="n">
        <v>2</v>
      </c>
      <c r="E457" s="6" t="s">
        <v>42</v>
      </c>
      <c r="F457" s="1" t="s">
        <v>23</v>
      </c>
      <c r="G457" s="1" t="n">
        <v>561</v>
      </c>
      <c r="H457" s="1" t="n">
        <v>550.3</v>
      </c>
      <c r="I457" s="1" t="n">
        <v>23</v>
      </c>
      <c r="J457" s="1" t="n">
        <v>1</v>
      </c>
      <c r="K457" s="1" t="n">
        <v>1.25897</v>
      </c>
      <c r="L457" s="1" t="n">
        <v>0.03186</v>
      </c>
      <c r="M457" s="1" t="n">
        <v>2.531</v>
      </c>
      <c r="N457" s="1" t="n">
        <v>2.42</v>
      </c>
      <c r="O457" s="1" t="n">
        <v>0.741</v>
      </c>
      <c r="P457" s="1" t="n">
        <v>0.4028</v>
      </c>
      <c r="Q457" s="1" t="n">
        <v>17.03</v>
      </c>
      <c r="R457" s="1" t="n">
        <v>-0.02784</v>
      </c>
      <c r="S457" s="1" t="n">
        <v>0.5</v>
      </c>
      <c r="T457" s="5" t="n">
        <v>5.338E-007</v>
      </c>
      <c r="U457" s="5" t="n">
        <v>0.0004197</v>
      </c>
      <c r="V457" s="1" t="n">
        <v>6.351</v>
      </c>
    </row>
    <row r="458" customFormat="false" ht="12.8" hidden="false" customHeight="false" outlineLevel="0" collapsed="false">
      <c r="A458" s="1" t="n">
        <v>23</v>
      </c>
      <c r="B458" s="4" t="s">
        <v>39</v>
      </c>
      <c r="C458" s="4" t="str">
        <f aca="false">IF(LEFT(E458,2)="S5","Spritz","Standard")</f>
        <v>Standard</v>
      </c>
      <c r="D458" s="4" t="n">
        <v>2</v>
      </c>
      <c r="E458" s="6" t="s">
        <v>42</v>
      </c>
      <c r="F458" s="1" t="s">
        <v>23</v>
      </c>
      <c r="G458" s="1" t="n">
        <v>586.1</v>
      </c>
      <c r="H458" s="1" t="n">
        <v>575.3</v>
      </c>
      <c r="I458" s="1" t="n">
        <v>23</v>
      </c>
      <c r="J458" s="1" t="n">
        <v>1</v>
      </c>
      <c r="K458" s="1" t="n">
        <v>1.58599</v>
      </c>
      <c r="L458" s="1" t="n">
        <v>0.0367</v>
      </c>
      <c r="M458" s="1" t="n">
        <v>2.314</v>
      </c>
      <c r="N458" s="1" t="n">
        <v>2.201</v>
      </c>
      <c r="O458" s="1" t="n">
        <v>0.7147</v>
      </c>
      <c r="P458" s="1" t="n">
        <v>0.3683</v>
      </c>
      <c r="Q458" s="1" t="n">
        <v>17.99</v>
      </c>
      <c r="R458" s="1" t="n">
        <v>-0.02797</v>
      </c>
      <c r="S458" s="1" t="n">
        <v>0.5</v>
      </c>
      <c r="T458" s="5" t="n">
        <v>6.149E-007</v>
      </c>
      <c r="U458" s="5" t="n">
        <v>0.0005287</v>
      </c>
      <c r="V458" s="1" t="n">
        <v>8.905</v>
      </c>
    </row>
    <row r="459" customFormat="false" ht="12.8" hidden="false" customHeight="false" outlineLevel="0" collapsed="false">
      <c r="A459" s="1" t="n">
        <v>24</v>
      </c>
      <c r="B459" s="4" t="s">
        <v>39</v>
      </c>
      <c r="C459" s="4" t="str">
        <f aca="false">IF(LEFT(E459,2)="S5","Spritz","Standard")</f>
        <v>Standard</v>
      </c>
      <c r="D459" s="4" t="n">
        <v>2</v>
      </c>
      <c r="E459" s="6" t="s">
        <v>42</v>
      </c>
      <c r="F459" s="1" t="s">
        <v>23</v>
      </c>
      <c r="G459" s="1" t="n">
        <v>611.1</v>
      </c>
      <c r="H459" s="1" t="n">
        <v>600.3</v>
      </c>
      <c r="I459" s="1" t="n">
        <v>23</v>
      </c>
      <c r="J459" s="1" t="n">
        <v>1</v>
      </c>
      <c r="K459" s="1" t="n">
        <v>1.99758</v>
      </c>
      <c r="L459" s="1" t="n">
        <v>0.04154</v>
      </c>
      <c r="M459" s="1" t="n">
        <v>2.079</v>
      </c>
      <c r="N459" s="1" t="n">
        <v>1.964</v>
      </c>
      <c r="O459" s="1" t="n">
        <v>0.6825</v>
      </c>
      <c r="P459" s="1" t="n">
        <v>0.3309</v>
      </c>
      <c r="Q459" s="1" t="n">
        <v>19.16</v>
      </c>
      <c r="R459" s="1" t="n">
        <v>-0.02824</v>
      </c>
      <c r="S459" s="1" t="n">
        <v>0.5</v>
      </c>
      <c r="T459" s="5" t="n">
        <v>6.958E-007</v>
      </c>
      <c r="U459" s="5" t="n">
        <v>0.0006659</v>
      </c>
      <c r="V459" s="1" t="n">
        <v>12.71</v>
      </c>
    </row>
    <row r="460" customFormat="false" ht="12.8" hidden="false" customHeight="false" outlineLevel="0" collapsed="false">
      <c r="A460" s="1" t="n">
        <v>25</v>
      </c>
      <c r="B460" s="4" t="s">
        <v>39</v>
      </c>
      <c r="C460" s="4" t="str">
        <f aca="false">IF(LEFT(E460,2)="S5","Spritz","Standard")</f>
        <v>Standard</v>
      </c>
      <c r="D460" s="4" t="n">
        <v>2</v>
      </c>
      <c r="E460" s="6" t="s">
        <v>42</v>
      </c>
      <c r="F460" s="1" t="s">
        <v>23</v>
      </c>
      <c r="G460" s="1" t="n">
        <v>636.1</v>
      </c>
      <c r="H460" s="1" t="n">
        <v>625.3</v>
      </c>
      <c r="I460" s="1" t="n">
        <v>23</v>
      </c>
      <c r="J460" s="1" t="n">
        <v>1</v>
      </c>
      <c r="K460" s="1" t="n">
        <v>2.51211</v>
      </c>
      <c r="L460" s="1" t="n">
        <v>0.04673</v>
      </c>
      <c r="M460" s="1" t="n">
        <v>1.86</v>
      </c>
      <c r="N460" s="1" t="n">
        <v>1.742</v>
      </c>
      <c r="O460" s="1" t="n">
        <v>0.651</v>
      </c>
      <c r="P460" s="1" t="n">
        <v>0.296</v>
      </c>
      <c r="Q460" s="1" t="n">
        <v>20.49</v>
      </c>
      <c r="R460" s="1" t="n">
        <v>-0.02708</v>
      </c>
      <c r="S460" s="1" t="n">
        <v>0.5</v>
      </c>
      <c r="T460" s="5" t="n">
        <v>7.828E-007</v>
      </c>
      <c r="U460" s="5" t="n">
        <v>0.0008374</v>
      </c>
      <c r="V460" s="1" t="n">
        <v>16.2</v>
      </c>
    </row>
    <row r="461" customFormat="false" ht="12.8" hidden="false" customHeight="false" outlineLevel="0" collapsed="false">
      <c r="A461" s="1" t="n">
        <v>26</v>
      </c>
      <c r="B461" s="4" t="s">
        <v>39</v>
      </c>
      <c r="C461" s="4" t="str">
        <f aca="false">IF(LEFT(E461,2)="S5","Spritz","Standard")</f>
        <v>Standard</v>
      </c>
      <c r="D461" s="4" t="n">
        <v>2</v>
      </c>
      <c r="E461" s="6" t="s">
        <v>42</v>
      </c>
      <c r="F461" s="1" t="s">
        <v>23</v>
      </c>
      <c r="G461" s="1" t="n">
        <v>661.1</v>
      </c>
      <c r="H461" s="1" t="n">
        <v>650.3</v>
      </c>
      <c r="I461" s="1" t="n">
        <v>23</v>
      </c>
      <c r="J461" s="1" t="n">
        <v>1</v>
      </c>
      <c r="K461" s="1" t="n">
        <v>3.16247</v>
      </c>
      <c r="L461" s="1" t="n">
        <v>0.05164</v>
      </c>
      <c r="M461" s="1" t="n">
        <v>1.633</v>
      </c>
      <c r="N461" s="1" t="n">
        <v>1.515</v>
      </c>
      <c r="O461" s="1" t="n">
        <v>0.6081</v>
      </c>
      <c r="P461" s="1" t="n">
        <v>0.2599</v>
      </c>
      <c r="Q461" s="1" t="n">
        <v>21.86</v>
      </c>
      <c r="R461" s="1" t="n">
        <v>-0.02751</v>
      </c>
      <c r="S461" s="1" t="n">
        <v>0.5</v>
      </c>
      <c r="T461" s="5" t="n">
        <v>8.651E-007</v>
      </c>
      <c r="U461" s="5" t="n">
        <v>0.001054</v>
      </c>
      <c r="V461" s="1" t="n">
        <v>17.59</v>
      </c>
    </row>
    <row r="462" customFormat="false" ht="12.8" hidden="false" customHeight="false" outlineLevel="0" collapsed="false">
      <c r="A462" s="1" t="n">
        <v>27</v>
      </c>
      <c r="B462" s="4" t="s">
        <v>39</v>
      </c>
      <c r="C462" s="4" t="str">
        <f aca="false">IF(LEFT(E462,2)="S5","Spritz","Standard")</f>
        <v>Standard</v>
      </c>
      <c r="D462" s="4" t="n">
        <v>2</v>
      </c>
      <c r="E462" s="6" t="s">
        <v>42</v>
      </c>
      <c r="F462" s="1" t="s">
        <v>23</v>
      </c>
      <c r="G462" s="1" t="n">
        <v>686.1</v>
      </c>
      <c r="H462" s="1" t="n">
        <v>675.4</v>
      </c>
      <c r="I462" s="1" t="n">
        <v>23</v>
      </c>
      <c r="J462" s="1" t="n">
        <v>1</v>
      </c>
      <c r="K462" s="1" t="n">
        <v>3.9841</v>
      </c>
      <c r="L462" s="1" t="n">
        <v>0.05684</v>
      </c>
      <c r="M462" s="1" t="n">
        <v>1.427</v>
      </c>
      <c r="N462" s="1" t="n">
        <v>1.309</v>
      </c>
      <c r="O462" s="1" t="n">
        <v>0.5679</v>
      </c>
      <c r="P462" s="1" t="n">
        <v>0.2271</v>
      </c>
      <c r="Q462" s="1" t="n">
        <v>23.45</v>
      </c>
      <c r="R462" s="1" t="n">
        <v>-0.02748</v>
      </c>
      <c r="S462" s="1" t="n">
        <v>0.5</v>
      </c>
      <c r="T462" s="5" t="n">
        <v>9.523E-007</v>
      </c>
      <c r="U462" s="5" t="n">
        <v>0.001328</v>
      </c>
      <c r="V462" s="1" t="n">
        <v>24.59</v>
      </c>
    </row>
    <row r="463" customFormat="false" ht="12.8" hidden="false" customHeight="false" outlineLevel="0" collapsed="false">
      <c r="A463" s="1" t="n">
        <v>28</v>
      </c>
      <c r="B463" s="4" t="s">
        <v>39</v>
      </c>
      <c r="C463" s="4" t="str">
        <f aca="false">IF(LEFT(E463,2)="S5","Spritz","Standard")</f>
        <v>Standard</v>
      </c>
      <c r="D463" s="4" t="n">
        <v>2</v>
      </c>
      <c r="E463" s="6" t="s">
        <v>42</v>
      </c>
      <c r="F463" s="1" t="s">
        <v>23</v>
      </c>
      <c r="G463" s="1" t="n">
        <v>711.1</v>
      </c>
      <c r="H463" s="1" t="n">
        <v>700.4</v>
      </c>
      <c r="I463" s="1" t="n">
        <v>23</v>
      </c>
      <c r="J463" s="1" t="n">
        <v>1</v>
      </c>
      <c r="K463" s="1" t="n">
        <v>5.01412</v>
      </c>
      <c r="L463" s="1" t="n">
        <v>0.06139</v>
      </c>
      <c r="M463" s="1" t="n">
        <v>1.224</v>
      </c>
      <c r="N463" s="1" t="n">
        <v>1.109</v>
      </c>
      <c r="O463" s="1" t="n">
        <v>0.5181</v>
      </c>
      <c r="P463" s="1" t="n">
        <v>0.1949</v>
      </c>
      <c r="Q463" s="1" t="n">
        <v>25.03</v>
      </c>
      <c r="R463" s="1" t="n">
        <v>-0.02738</v>
      </c>
      <c r="S463" s="1" t="n">
        <v>0.5</v>
      </c>
      <c r="T463" s="5" t="n">
        <v>1.028E-006</v>
      </c>
      <c r="U463" s="5" t="n">
        <v>0.001671</v>
      </c>
      <c r="V463" s="1" t="n">
        <v>24.11</v>
      </c>
    </row>
    <row r="464" customFormat="false" ht="12.8" hidden="false" customHeight="false" outlineLevel="0" collapsed="false">
      <c r="A464" s="1" t="n">
        <v>29</v>
      </c>
      <c r="B464" s="4" t="s">
        <v>39</v>
      </c>
      <c r="C464" s="4" t="str">
        <f aca="false">IF(LEFT(E464,2)="S5","Spritz","Standard")</f>
        <v>Standard</v>
      </c>
      <c r="D464" s="4" t="n">
        <v>2</v>
      </c>
      <c r="E464" s="6" t="s">
        <v>42</v>
      </c>
      <c r="F464" s="1" t="s">
        <v>23</v>
      </c>
      <c r="G464" s="1" t="n">
        <v>736.1</v>
      </c>
      <c r="H464" s="1" t="n">
        <v>725.4</v>
      </c>
      <c r="I464" s="1" t="n">
        <v>23</v>
      </c>
      <c r="J464" s="1" t="n">
        <v>1</v>
      </c>
      <c r="K464" s="1" t="n">
        <v>6.31388</v>
      </c>
      <c r="L464" s="1" t="n">
        <v>0.06612</v>
      </c>
      <c r="M464" s="1" t="n">
        <v>1.047</v>
      </c>
      <c r="N464" s="1" t="n">
        <v>0.9369</v>
      </c>
      <c r="O464" s="1" t="n">
        <v>0.4679</v>
      </c>
      <c r="P464" s="1" t="n">
        <v>0.1667</v>
      </c>
      <c r="Q464" s="1" t="n">
        <v>26.54</v>
      </c>
      <c r="R464" s="1" t="n">
        <v>-0.0274</v>
      </c>
      <c r="S464" s="1" t="n">
        <v>0.5</v>
      </c>
      <c r="T464" s="5" t="n">
        <v>1.108E-006</v>
      </c>
      <c r="U464" s="5" t="n">
        <v>0.002105</v>
      </c>
      <c r="V464" s="1" t="n">
        <v>17.14</v>
      </c>
    </row>
    <row r="465" customFormat="false" ht="12.8" hidden="false" customHeight="false" outlineLevel="0" collapsed="false">
      <c r="A465" s="1" t="n">
        <v>30</v>
      </c>
      <c r="B465" s="4" t="s">
        <v>39</v>
      </c>
      <c r="C465" s="4" t="str">
        <f aca="false">IF(LEFT(E465,2)="S5","Spritz","Standard")</f>
        <v>Standard</v>
      </c>
      <c r="D465" s="4" t="n">
        <v>2</v>
      </c>
      <c r="E465" s="6" t="s">
        <v>42</v>
      </c>
      <c r="F465" s="1" t="s">
        <v>23</v>
      </c>
      <c r="G465" s="1" t="n">
        <v>761.1</v>
      </c>
      <c r="H465" s="1" t="n">
        <v>750.4</v>
      </c>
      <c r="I465" s="1" t="n">
        <v>23</v>
      </c>
      <c r="J465" s="1" t="n">
        <v>1</v>
      </c>
      <c r="K465" s="1" t="n">
        <v>7.94889</v>
      </c>
      <c r="L465" s="1" t="n">
        <v>0.06868</v>
      </c>
      <c r="M465" s="1" t="n">
        <v>0.864</v>
      </c>
      <c r="N465" s="1" t="n">
        <v>0.7541</v>
      </c>
      <c r="O465" s="1" t="n">
        <v>0.4217</v>
      </c>
      <c r="P465" s="1" t="n">
        <v>0.1375</v>
      </c>
      <c r="Q465" s="1" t="n">
        <v>29.21</v>
      </c>
      <c r="R465" s="1" t="n">
        <v>-0.02749</v>
      </c>
      <c r="S465" s="1" t="n">
        <v>0.5</v>
      </c>
      <c r="T465" s="5" t="n">
        <v>1.151E-006</v>
      </c>
      <c r="U465" s="5" t="n">
        <v>0.00265</v>
      </c>
      <c r="V465" s="1" t="n">
        <v>18.76</v>
      </c>
    </row>
    <row r="466" customFormat="false" ht="12.8" hidden="false" customHeight="false" outlineLevel="0" collapsed="false">
      <c r="A466" s="1" t="n">
        <v>31</v>
      </c>
      <c r="B466" s="4" t="s">
        <v>39</v>
      </c>
      <c r="C466" s="4" t="str">
        <f aca="false">IF(LEFT(E466,2)="S5","Spritz","Standard")</f>
        <v>Standard</v>
      </c>
      <c r="D466" s="4" t="n">
        <v>2</v>
      </c>
      <c r="E466" s="6" t="s">
        <v>42</v>
      </c>
      <c r="F466" s="1" t="s">
        <v>23</v>
      </c>
      <c r="G466" s="1" t="n">
        <v>786.2</v>
      </c>
      <c r="H466" s="1" t="n">
        <v>775.4</v>
      </c>
      <c r="I466" s="1" t="n">
        <v>23</v>
      </c>
      <c r="J466" s="1" t="n">
        <v>1</v>
      </c>
      <c r="K466" s="1" t="n">
        <v>10.0155</v>
      </c>
      <c r="L466" s="1" t="n">
        <v>0.07196</v>
      </c>
      <c r="M466" s="1" t="n">
        <v>0.7185</v>
      </c>
      <c r="N466" s="1" t="n">
        <v>0.6081</v>
      </c>
      <c r="O466" s="1" t="n">
        <v>0.3827</v>
      </c>
      <c r="P466" s="1" t="n">
        <v>0.1143</v>
      </c>
      <c r="Q466" s="1" t="n">
        <v>32.18</v>
      </c>
      <c r="R466" s="1" t="n">
        <v>-0.02755</v>
      </c>
      <c r="S466" s="1" t="n">
        <v>0.5</v>
      </c>
      <c r="T466" s="5" t="n">
        <v>1.206E-006</v>
      </c>
      <c r="U466" s="5" t="n">
        <v>0.003339</v>
      </c>
      <c r="V466" s="1" t="n">
        <v>13.42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D4:K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4" activeCellId="0" sqref="D4"/>
    </sheetView>
  </sheetViews>
  <sheetFormatPr defaultColWidth="11.53515625" defaultRowHeight="12.8" customHeight="false" zeroHeight="false" outlineLevelRow="0" outlineLevelCol="0"/>
  <sheetData>
    <row r="4" customFormat="false" ht="12.8" hidden="false" customHeight="false" outlineLevel="0" collapsed="false">
      <c r="D4" s="8" t="s">
        <v>43</v>
      </c>
    </row>
    <row r="7" customFormat="false" ht="24.05" hidden="false" customHeight="false" outlineLevel="0" collapsed="false">
      <c r="D7" s="9" t="s">
        <v>44</v>
      </c>
      <c r="E7" s="9" t="s">
        <v>45</v>
      </c>
      <c r="F7" s="9" t="s">
        <v>46</v>
      </c>
      <c r="G7" s="9" t="s">
        <v>47</v>
      </c>
      <c r="H7" s="9" t="s">
        <v>48</v>
      </c>
      <c r="I7" s="9" t="s">
        <v>21</v>
      </c>
      <c r="K7" s="8" t="s">
        <v>49</v>
      </c>
    </row>
    <row r="8" customFormat="false" ht="24.05" hidden="false" customHeight="false" outlineLevel="0" collapsed="false">
      <c r="D8" s="10" t="s">
        <v>50</v>
      </c>
      <c r="E8" s="10" t="s">
        <v>51</v>
      </c>
      <c r="F8" s="10" t="s">
        <v>30</v>
      </c>
      <c r="G8" s="10" t="s">
        <v>52</v>
      </c>
      <c r="H8" s="10" t="n">
        <v>0</v>
      </c>
      <c r="I8" s="10" t="s">
        <v>53</v>
      </c>
      <c r="K8" s="8" t="s">
        <v>54</v>
      </c>
    </row>
    <row r="9" customFormat="false" ht="12.8" hidden="false" customHeight="false" outlineLevel="0" collapsed="false">
      <c r="D9" s="10" t="s">
        <v>55</v>
      </c>
      <c r="E9" s="10" t="s">
        <v>56</v>
      </c>
      <c r="F9" s="10" t="s">
        <v>30</v>
      </c>
      <c r="G9" s="10" t="s">
        <v>52</v>
      </c>
      <c r="H9" s="10" t="n">
        <v>1</v>
      </c>
      <c r="I9" s="10" t="s">
        <v>57</v>
      </c>
      <c r="K9" s="8" t="s">
        <v>58</v>
      </c>
    </row>
    <row r="10" customFormat="false" ht="12.8" hidden="false" customHeight="false" outlineLevel="0" collapsed="false">
      <c r="D10" s="10" t="s">
        <v>59</v>
      </c>
      <c r="E10" s="10" t="s">
        <v>60</v>
      </c>
      <c r="F10" s="10" t="s">
        <v>30</v>
      </c>
      <c r="G10" s="10" t="s">
        <v>52</v>
      </c>
      <c r="H10" s="10" t="n">
        <v>2</v>
      </c>
      <c r="I10" s="10" t="s">
        <v>61</v>
      </c>
      <c r="K10" s="8" t="s">
        <v>62</v>
      </c>
    </row>
    <row r="11" customFormat="false" ht="24.05" hidden="false" customHeight="false" outlineLevel="0" collapsed="false">
      <c r="D11" s="10" t="s">
        <v>63</v>
      </c>
      <c r="E11" s="10" t="s">
        <v>64</v>
      </c>
      <c r="F11" s="10" t="s">
        <v>26</v>
      </c>
      <c r="G11" s="10" t="s">
        <v>52</v>
      </c>
      <c r="H11" s="10" t="n">
        <v>0</v>
      </c>
      <c r="I11" s="10" t="s">
        <v>53</v>
      </c>
    </row>
    <row r="12" customFormat="false" ht="12.8" hidden="false" customHeight="false" outlineLevel="0" collapsed="false">
      <c r="D12" s="10" t="s">
        <v>65</v>
      </c>
      <c r="E12" s="10" t="s">
        <v>66</v>
      </c>
      <c r="F12" s="10" t="s">
        <v>26</v>
      </c>
      <c r="G12" s="10" t="s">
        <v>52</v>
      </c>
      <c r="H12" s="10" t="n">
        <v>1</v>
      </c>
      <c r="I12" s="10" t="s">
        <v>57</v>
      </c>
    </row>
    <row r="13" customFormat="false" ht="12.8" hidden="false" customHeight="false" outlineLevel="0" collapsed="false">
      <c r="D13" s="10" t="s">
        <v>67</v>
      </c>
      <c r="E13" s="10" t="s">
        <v>68</v>
      </c>
      <c r="F13" s="10" t="s">
        <v>26</v>
      </c>
      <c r="G13" s="10" t="s">
        <v>52</v>
      </c>
      <c r="H13" s="10" t="n">
        <v>2</v>
      </c>
      <c r="I13" s="10" t="s">
        <v>61</v>
      </c>
    </row>
    <row r="14" customFormat="false" ht="24.05" hidden="false" customHeight="false" outlineLevel="0" collapsed="false">
      <c r="D14" s="10" t="s">
        <v>69</v>
      </c>
      <c r="E14" s="10" t="s">
        <v>70</v>
      </c>
      <c r="F14" s="10" t="s">
        <v>39</v>
      </c>
      <c r="G14" s="10" t="s">
        <v>52</v>
      </c>
      <c r="H14" s="10" t="n">
        <v>0</v>
      </c>
      <c r="I14" s="10" t="s">
        <v>53</v>
      </c>
    </row>
    <row r="15" customFormat="false" ht="12.8" hidden="false" customHeight="false" outlineLevel="0" collapsed="false">
      <c r="D15" s="10" t="s">
        <v>71</v>
      </c>
      <c r="E15" s="10" t="s">
        <v>72</v>
      </c>
      <c r="F15" s="10" t="s">
        <v>39</v>
      </c>
      <c r="G15" s="10" t="s">
        <v>52</v>
      </c>
      <c r="H15" s="10" t="n">
        <v>1</v>
      </c>
      <c r="I15" s="10" t="s">
        <v>57</v>
      </c>
    </row>
    <row r="16" customFormat="false" ht="12.8" hidden="false" customHeight="false" outlineLevel="0" collapsed="false">
      <c r="D16" s="10" t="s">
        <v>73</v>
      </c>
      <c r="E16" s="10" t="s">
        <v>74</v>
      </c>
      <c r="F16" s="10" t="s">
        <v>39</v>
      </c>
      <c r="G16" s="10" t="s">
        <v>52</v>
      </c>
      <c r="H16" s="10" t="n">
        <v>2</v>
      </c>
      <c r="I16" s="10" t="s">
        <v>61</v>
      </c>
    </row>
    <row r="17" customFormat="false" ht="24.05" hidden="false" customHeight="false" outlineLevel="0" collapsed="false">
      <c r="D17" s="10" t="s">
        <v>22</v>
      </c>
      <c r="E17" s="10" t="s">
        <v>75</v>
      </c>
      <c r="F17" s="10" t="s">
        <v>34</v>
      </c>
      <c r="G17" s="10" t="s">
        <v>52</v>
      </c>
      <c r="H17" s="10" t="n">
        <v>0</v>
      </c>
      <c r="I17" s="10" t="s">
        <v>53</v>
      </c>
    </row>
    <row r="18" customFormat="false" ht="12.8" hidden="false" customHeight="false" outlineLevel="0" collapsed="false">
      <c r="D18" s="10" t="s">
        <v>24</v>
      </c>
      <c r="E18" s="10" t="s">
        <v>76</v>
      </c>
      <c r="F18" s="10" t="s">
        <v>34</v>
      </c>
      <c r="G18" s="10" t="s">
        <v>52</v>
      </c>
      <c r="H18" s="10" t="n">
        <v>1</v>
      </c>
      <c r="I18" s="10" t="s">
        <v>57</v>
      </c>
    </row>
    <row r="19" customFormat="false" ht="12.8" hidden="false" customHeight="false" outlineLevel="0" collapsed="false">
      <c r="D19" s="10" t="s">
        <v>25</v>
      </c>
      <c r="E19" s="10" t="s">
        <v>77</v>
      </c>
      <c r="F19" s="10" t="s">
        <v>34</v>
      </c>
      <c r="G19" s="10" t="s">
        <v>52</v>
      </c>
      <c r="H19" s="10" t="n">
        <v>2</v>
      </c>
      <c r="I19" s="10" t="s">
        <v>61</v>
      </c>
    </row>
    <row r="20" customFormat="false" ht="24.05" hidden="false" customHeight="false" outlineLevel="0" collapsed="false">
      <c r="D20" s="10" t="s">
        <v>78</v>
      </c>
      <c r="E20" s="10" t="s">
        <v>79</v>
      </c>
      <c r="F20" s="10" t="s">
        <v>34</v>
      </c>
      <c r="G20" s="10" t="s">
        <v>35</v>
      </c>
      <c r="H20" s="10" t="n">
        <v>0</v>
      </c>
      <c r="I20" s="10" t="s">
        <v>80</v>
      </c>
    </row>
    <row r="21" customFormat="false" ht="24.05" hidden="false" customHeight="false" outlineLevel="0" collapsed="false">
      <c r="D21" s="10" t="s">
        <v>81</v>
      </c>
      <c r="E21" s="10" t="s">
        <v>82</v>
      </c>
      <c r="F21" s="10" t="s">
        <v>34</v>
      </c>
      <c r="G21" s="10" t="s">
        <v>35</v>
      </c>
      <c r="H21" s="10" t="n">
        <v>1</v>
      </c>
      <c r="I21" s="10" t="s">
        <v>83</v>
      </c>
    </row>
    <row r="22" customFormat="false" ht="24.05" hidden="false" customHeight="false" outlineLevel="0" collapsed="false">
      <c r="D22" s="10" t="s">
        <v>84</v>
      </c>
      <c r="E22" s="10" t="s">
        <v>85</v>
      </c>
      <c r="F22" s="10" t="s">
        <v>34</v>
      </c>
      <c r="G22" s="10" t="s">
        <v>35</v>
      </c>
      <c r="H22" s="10" t="n">
        <v>2</v>
      </c>
      <c r="I22" s="10" t="s">
        <v>86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</TotalTime>
  <Application>LibreOffice/26.2.4.2$Windows_X86_64 LibreOffice_project/0229ac93fcf0d7cbc6376066c6f35021cef002dc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2026-06-15T01:17:01Z</dcterms:created>
  <dc:creator/>
  <dc:description/>
  <dc:language>en-US</dc:language>
  <cp:lastModifiedBy/>
  <dcterms:modified xsi:type="dcterms:W3CDTF">2026-07-08T23:31:34Z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