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<sst xmlns="http://schemas.openxmlformats.org/spreadsheetml/2006/main" count="1499" uniqueCount="84">
  <si>
    <t xml:space="preserve">Index</t>
  </si>
  <si>
    <t xml:space="preserve">Manufacturing_Date </t>
  </si>
  <si>
    <t xml:space="preserve">Product_Type </t>
  </si>
  <si>
    <t xml:space="preserve">Replicate_Number </t>
  </si>
  <si>
    <t xml:space="preserve">Sample</t>
  </si>
  <si>
    <t xml:space="preserve">Action</t>
  </si>
  <si>
    <t xml:space="preserve">texp (s)</t>
  </si>
  <si>
    <t xml:space="preserve">t (s)</t>
  </si>
  <si>
    <t xml:space="preserve">T (°C)</t>
  </si>
  <si>
    <t xml:space="preserve">σ (Pa)</t>
  </si>
  <si>
    <t xml:space="preserve">ɣ̇ (s⁻¹)</t>
  </si>
  <si>
    <t xml:space="preserve">η (Pa s)</t>
  </si>
  <si>
    <t xml:space="preserve">F (N)</t>
  </si>
  <si>
    <t xml:space="preserve">g (mm)</t>
  </si>
  <si>
    <t xml:space="preserve">τ (N m)</t>
  </si>
  <si>
    <t xml:space="preserve">θ'(t) (rad/s)</t>
  </si>
  <si>
    <t xml:space="preserve">steady state</t>
  </si>
  <si>
    <t xml:space="preserve">θabs (rad)</t>
  </si>
  <si>
    <t xml:space="preserve">14.04.2025</t>
  </si>
  <si>
    <t xml:space="preserve">S3 </t>
  </si>
  <si>
    <t xml:space="preserve">Viskosimetrie Scherratenrampe</t>
  </si>
  <si>
    <t xml:space="preserve">S3.1 </t>
  </si>
  <si>
    <t xml:space="preserve">S3.2 </t>
  </si>
  <si>
    <t xml:space="preserve">04.12.2025</t>
  </si>
  <si>
    <t xml:space="preserve">Spritz</t>
  </si>
  <si>
    <t xml:space="preserve">S5 </t>
  </si>
  <si>
    <t xml:space="preserve">S5.1 </t>
  </si>
  <si>
    <t xml:space="preserve">S5.2 </t>
  </si>
  <si>
    <t xml:space="preserve">S4</t>
  </si>
  <si>
    <t xml:space="preserve">S4.1</t>
  </si>
  <si>
    <t xml:space="preserve">S4.2</t>
  </si>
  <si>
    <t xml:space="preserve">01.11.2024</t>
  </si>
  <si>
    <t xml:space="preserve">S1 </t>
  </si>
  <si>
    <t xml:space="preserve">S1.1 </t>
  </si>
  <si>
    <t xml:space="preserve">S1.2 </t>
  </si>
  <si>
    <t xml:space="preserve">24.07.2025</t>
  </si>
  <si>
    <t xml:space="preserve">S2 </t>
  </si>
  <si>
    <t xml:space="preserve">S2.1 </t>
  </si>
  <si>
    <t xml:space="preserve">S2.2 </t>
  </si>
  <si>
    <t xml:space="preserve">metadata</t>
  </si>
  <si>
    <t xml:space="preserve">Sample_ID</t>
  </si>
  <si>
    <t xml:space="preserve">Original_Sample</t>
  </si>
  <si>
    <t xml:space="preserve">Manufacturing_Date</t>
  </si>
  <si>
    <t xml:space="preserve">Product_Type</t>
  </si>
  <si>
    <t xml:space="preserve">Replicate_Number</t>
  </si>
  <si>
    <t xml:space="preserve">Notes</t>
  </si>
  <si>
    <t xml:space="preserve">S5 (Sample 2) = Spritz product.</t>
  </si>
  <si>
    <t xml:space="preserve">S1</t>
  </si>
  <si>
    <t xml:space="preserve">Sample 4</t>
  </si>
  <si>
    <t xml:space="preserve">Standard</t>
  </si>
  <si>
    <t xml:space="preserve">Original sample</t>
  </si>
  <si>
    <t xml:space="preserve">S5 = First measurement</t>
  </si>
  <si>
    <t xml:space="preserve">S1.1</t>
  </si>
  <si>
    <t xml:space="preserve">Sample 4-1</t>
  </si>
  <si>
    <t xml:space="preserve">Replicate 1</t>
  </si>
  <si>
    <t xml:space="preserve">S5.1 = Second measurement</t>
  </si>
  <si>
    <t xml:space="preserve">S1.2</t>
  </si>
  <si>
    <t xml:space="preserve">Sample 4-2</t>
  </si>
  <si>
    <t xml:space="preserve">Replicate 2</t>
  </si>
  <si>
    <t xml:space="preserve">S5.2 = Third measurement</t>
  </si>
  <si>
    <t xml:space="preserve">S2</t>
  </si>
  <si>
    <t xml:space="preserve">Sample 5</t>
  </si>
  <si>
    <t xml:space="preserve">S2.1</t>
  </si>
  <si>
    <t xml:space="preserve">Sample 5-1</t>
  </si>
  <si>
    <t xml:space="preserve">S2.2</t>
  </si>
  <si>
    <t xml:space="preserve">Sample 5-2</t>
  </si>
  <si>
    <t xml:space="preserve">S3</t>
  </si>
  <si>
    <t xml:space="preserve">Sample 9</t>
  </si>
  <si>
    <t xml:space="preserve">S3.1</t>
  </si>
  <si>
    <t xml:space="preserve">Sample 9-1</t>
  </si>
  <si>
    <t xml:space="preserve">S3.2</t>
  </si>
  <si>
    <t xml:space="preserve">Sample 9-2</t>
  </si>
  <si>
    <t xml:space="preserve">Sample 16</t>
  </si>
  <si>
    <t xml:space="preserve">Sample 16-1</t>
  </si>
  <si>
    <t xml:space="preserve">Sample 16-2</t>
  </si>
  <si>
    <t xml:space="preserve">S5</t>
  </si>
  <si>
    <t xml:space="preserve">Sample 2</t>
  </si>
  <si>
    <t xml:space="preserve">First measurement</t>
  </si>
  <si>
    <t xml:space="preserve">S5.1</t>
  </si>
  <si>
    <t xml:space="preserve">Sample 2-1</t>
  </si>
  <si>
    <t xml:space="preserve">Second measurement</t>
  </si>
  <si>
    <t xml:space="preserve">S5.2</t>
  </si>
  <si>
    <t xml:space="preserve">Sample 2-2</t>
  </si>
  <si>
    <t xml:space="preserve">Third measurement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</si>
</sst>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DDE8CB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66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S1" activeCellId="0" sqref="S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6.94"/>
    <col collapsed="false" customWidth="true" hidden="false" outlineLevel="0" max="2" min="2" style="1" width="18.65"/>
    <col collapsed="false" customWidth="true" hidden="false" outlineLevel="0" max="3" min="3" style="1" width="13.66"/>
    <col collapsed="false" customWidth="true" hidden="false" outlineLevel="0" max="4" min="4" style="1" width="16.37"/>
    <col collapsed="false" customWidth="true" hidden="false" outlineLevel="0" max="5" min="5" style="1" width="8.67"/>
    <col collapsed="false" customWidth="true" hidden="false" outlineLevel="0" max="6" min="6" style="1" width="26.45"/>
    <col collapsed="false" customWidth="false" hidden="false" outlineLevel="0" max="18" min="7" style="1" width="11.53"/>
    <col collapsed="false" customWidth="false" hidden="false" outlineLevel="0" max="16384" min="23" style="1" width="11.53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2.8" hidden="false" customHeight="false" outlineLevel="0" collapsed="false">
      <c r="A2" s="1" t="n">
        <v>1</v>
      </c>
      <c r="B2" s="4" t="s">
        <v>18</v>
      </c>
      <c r="C2" s="4" t="str">
        <f aca="false">IF(LEFT(E2,2)="S5","Spritz","Standard")</f>
        <v>Standard</v>
      </c>
      <c r="D2" s="4" t="n">
        <f aca="false">IF(RIGHT(E2,2)=".1",1,IF(RIGHT(E2,2)=".2",2,0))</f>
        <v>0</v>
      </c>
      <c r="E2" s="5" t="s">
        <v>19</v>
      </c>
      <c r="F2" s="1" t="s">
        <v>20</v>
      </c>
      <c r="G2" s="1" t="n">
        <v>21.83</v>
      </c>
      <c r="H2" s="1" t="n">
        <v>7.74</v>
      </c>
      <c r="I2" s="1" t="n">
        <v>25.04</v>
      </c>
      <c r="J2" s="1" t="n">
        <v>0.5262</v>
      </c>
      <c r="K2" s="1" t="n">
        <v>0.1213</v>
      </c>
      <c r="L2" s="1" t="n">
        <v>4.34</v>
      </c>
      <c r="M2" s="1" t="n">
        <v>-0.0251</v>
      </c>
      <c r="N2" s="1" t="n">
        <v>0.5</v>
      </c>
      <c r="O2" s="6" t="n">
        <v>8.816E-006</v>
      </c>
      <c r="P2" s="6" t="n">
        <v>0.004042</v>
      </c>
      <c r="Q2" s="1" t="n">
        <v>0.9326</v>
      </c>
      <c r="R2" s="1" t="n">
        <v>0.05805</v>
      </c>
    </row>
    <row r="3" customFormat="false" ht="12.8" hidden="false" customHeight="false" outlineLevel="0" collapsed="false">
      <c r="A3" s="1" t="n">
        <v>2</v>
      </c>
      <c r="B3" s="4" t="s">
        <v>18</v>
      </c>
      <c r="C3" s="4" t="str">
        <f aca="false">IF(LEFT(E3,2)="S5","Spritz","Standard")</f>
        <v>Standard</v>
      </c>
      <c r="D3" s="4" t="n">
        <f aca="false">IF(RIGHT(E3,2)=".1",1,IF(RIGHT(E3,2)=".2",2,0))</f>
        <v>0</v>
      </c>
      <c r="E3" s="5" t="s">
        <v>19</v>
      </c>
      <c r="F3" s="1" t="s">
        <v>20</v>
      </c>
      <c r="G3" s="1" t="n">
        <v>29.57</v>
      </c>
      <c r="H3" s="1" t="n">
        <v>15.49</v>
      </c>
      <c r="I3" s="1" t="n">
        <v>25.04</v>
      </c>
      <c r="J3" s="1" t="n">
        <v>0.5516</v>
      </c>
      <c r="K3" s="1" t="n">
        <v>0.1515</v>
      </c>
      <c r="L3" s="1" t="n">
        <v>3.64</v>
      </c>
      <c r="M3" s="1" t="n">
        <v>-0.0249</v>
      </c>
      <c r="N3" s="1" t="n">
        <v>0.5</v>
      </c>
      <c r="O3" s="6" t="n">
        <v>9.241E-006</v>
      </c>
      <c r="P3" s="6" t="n">
        <v>0.005051</v>
      </c>
      <c r="Q3" s="1" t="n">
        <v>0.9901</v>
      </c>
      <c r="R3" s="1" t="n">
        <v>0.09414</v>
      </c>
    </row>
    <row r="4" customFormat="false" ht="12.8" hidden="false" customHeight="false" outlineLevel="0" collapsed="false">
      <c r="A4" s="1" t="n">
        <v>3</v>
      </c>
      <c r="B4" s="4" t="s">
        <v>18</v>
      </c>
      <c r="C4" s="4" t="str">
        <f aca="false">IF(LEFT(E4,2)="S5","Spritz","Standard")</f>
        <v>Standard</v>
      </c>
      <c r="D4" s="4" t="n">
        <f aca="false">IF(RIGHT(E4,2)=".1",1,IF(RIGHT(E4,2)=".2",2,0))</f>
        <v>0</v>
      </c>
      <c r="E4" s="5" t="s">
        <v>19</v>
      </c>
      <c r="F4" s="1" t="s">
        <v>20</v>
      </c>
      <c r="G4" s="1" t="n">
        <v>37.31</v>
      </c>
      <c r="H4" s="1" t="n">
        <v>23.23</v>
      </c>
      <c r="I4" s="1" t="n">
        <v>25.04</v>
      </c>
      <c r="J4" s="1" t="n">
        <v>0.5236</v>
      </c>
      <c r="K4" s="1" t="n">
        <v>0.1894</v>
      </c>
      <c r="L4" s="1" t="n">
        <v>2.765</v>
      </c>
      <c r="M4" s="1" t="n">
        <v>-0.02499</v>
      </c>
      <c r="N4" s="1" t="n">
        <v>0.5</v>
      </c>
      <c r="O4" s="6" t="n">
        <v>8.771E-006</v>
      </c>
      <c r="P4" s="6" t="n">
        <v>0.006312</v>
      </c>
      <c r="Q4" s="1" t="n">
        <v>1.069</v>
      </c>
      <c r="R4" s="1" t="n">
        <v>0.1392</v>
      </c>
    </row>
    <row r="5" customFormat="false" ht="12.8" hidden="false" customHeight="false" outlineLevel="0" collapsed="false">
      <c r="A5" s="1" t="n">
        <v>4</v>
      </c>
      <c r="B5" s="4" t="s">
        <v>18</v>
      </c>
      <c r="C5" s="4" t="str">
        <f aca="false">IF(LEFT(E5,2)="S5","Spritz","Standard")</f>
        <v>Standard</v>
      </c>
      <c r="D5" s="4" t="n">
        <f aca="false">IF(RIGHT(E5,2)=".1",1,IF(RIGHT(E5,2)=".2",2,0))</f>
        <v>0</v>
      </c>
      <c r="E5" s="5" t="s">
        <v>19</v>
      </c>
      <c r="F5" s="1" t="s">
        <v>20</v>
      </c>
      <c r="G5" s="1" t="n">
        <v>45.06</v>
      </c>
      <c r="H5" s="1" t="n">
        <v>30.97</v>
      </c>
      <c r="I5" s="1" t="n">
        <v>25.04</v>
      </c>
      <c r="J5" s="1" t="n">
        <v>0.5198</v>
      </c>
      <c r="K5" s="1" t="n">
        <v>0.2366</v>
      </c>
      <c r="L5" s="1" t="n">
        <v>2.197</v>
      </c>
      <c r="M5" s="1" t="n">
        <v>-0.02477</v>
      </c>
      <c r="N5" s="1" t="n">
        <v>0.5</v>
      </c>
      <c r="O5" s="6" t="n">
        <v>8.708E-006</v>
      </c>
      <c r="P5" s="6" t="n">
        <v>0.007888</v>
      </c>
      <c r="Q5" s="1" t="n">
        <v>1.013</v>
      </c>
      <c r="R5" s="1" t="n">
        <v>0.1956</v>
      </c>
    </row>
    <row r="6" customFormat="false" ht="12.8" hidden="false" customHeight="false" outlineLevel="0" collapsed="false">
      <c r="A6" s="1" t="n">
        <v>5</v>
      </c>
      <c r="B6" s="4" t="s">
        <v>18</v>
      </c>
      <c r="C6" s="4" t="str">
        <f aca="false">IF(LEFT(E6,2)="S5","Spritz","Standard")</f>
        <v>Standard</v>
      </c>
      <c r="D6" s="4" t="n">
        <f aca="false">IF(RIGHT(E6,2)=".1",1,IF(RIGHT(E6,2)=".2",2,0))</f>
        <v>0</v>
      </c>
      <c r="E6" s="5" t="s">
        <v>19</v>
      </c>
      <c r="F6" s="1" t="s">
        <v>20</v>
      </c>
      <c r="G6" s="1" t="n">
        <v>52.8</v>
      </c>
      <c r="H6" s="1" t="n">
        <v>38.71</v>
      </c>
      <c r="I6" s="1" t="n">
        <v>25.03</v>
      </c>
      <c r="J6" s="1" t="n">
        <v>0.5493</v>
      </c>
      <c r="K6" s="1" t="n">
        <v>0.2957</v>
      </c>
      <c r="L6" s="1" t="n">
        <v>1.858</v>
      </c>
      <c r="M6" s="1" t="n">
        <v>-0.02417</v>
      </c>
      <c r="N6" s="1" t="n">
        <v>0.5</v>
      </c>
      <c r="O6" s="6" t="n">
        <v>9.202E-006</v>
      </c>
      <c r="P6" s="6" t="n">
        <v>0.009857</v>
      </c>
      <c r="Q6" s="1" t="n">
        <v>0.9899</v>
      </c>
      <c r="R6" s="1" t="n">
        <v>0.266</v>
      </c>
    </row>
    <row r="7" customFormat="false" ht="12.8" hidden="false" customHeight="false" outlineLevel="0" collapsed="false">
      <c r="A7" s="1" t="n">
        <v>6</v>
      </c>
      <c r="B7" s="4" t="s">
        <v>18</v>
      </c>
      <c r="C7" s="4" t="str">
        <f aca="false">IF(LEFT(E7,2)="S5","Spritz","Standard")</f>
        <v>Standard</v>
      </c>
      <c r="D7" s="4" t="n">
        <f aca="false">IF(RIGHT(E7,2)=".1",1,IF(RIGHT(E7,2)=".2",2,0))</f>
        <v>0</v>
      </c>
      <c r="E7" s="5" t="s">
        <v>19</v>
      </c>
      <c r="F7" s="1" t="s">
        <v>20</v>
      </c>
      <c r="G7" s="1" t="n">
        <v>60.54</v>
      </c>
      <c r="H7" s="1" t="n">
        <v>46.45</v>
      </c>
      <c r="I7" s="1" t="n">
        <v>25.03</v>
      </c>
      <c r="J7" s="1" t="n">
        <v>0.4586</v>
      </c>
      <c r="K7" s="1" t="n">
        <v>0.3695</v>
      </c>
      <c r="L7" s="1" t="n">
        <v>1.241</v>
      </c>
      <c r="M7" s="1" t="n">
        <v>-0.02417</v>
      </c>
      <c r="N7" s="1" t="n">
        <v>0.5</v>
      </c>
      <c r="O7" s="6" t="n">
        <v>7.683E-006</v>
      </c>
      <c r="P7" s="1" t="n">
        <v>0.01232</v>
      </c>
      <c r="Q7" s="1" t="n">
        <v>1.022</v>
      </c>
      <c r="R7" s="1" t="n">
        <v>0.3539</v>
      </c>
    </row>
    <row r="8" customFormat="false" ht="12.8" hidden="false" customHeight="false" outlineLevel="0" collapsed="false">
      <c r="A8" s="1" t="n">
        <v>7</v>
      </c>
      <c r="B8" s="4" t="s">
        <v>18</v>
      </c>
      <c r="C8" s="4" t="str">
        <f aca="false">IF(LEFT(E8,2)="S5","Spritz","Standard")</f>
        <v>Standard</v>
      </c>
      <c r="D8" s="4" t="n">
        <f aca="false">IF(RIGHT(E8,2)=".1",1,IF(RIGHT(E8,2)=".2",2,0))</f>
        <v>0</v>
      </c>
      <c r="E8" s="5" t="s">
        <v>19</v>
      </c>
      <c r="F8" s="1" t="s">
        <v>20</v>
      </c>
      <c r="G8" s="1" t="n">
        <v>68.28</v>
      </c>
      <c r="H8" s="1" t="n">
        <v>54.2</v>
      </c>
      <c r="I8" s="1" t="n">
        <v>25.03</v>
      </c>
      <c r="J8" s="1" t="n">
        <v>0.536</v>
      </c>
      <c r="K8" s="1" t="n">
        <v>0.4618</v>
      </c>
      <c r="L8" s="1" t="n">
        <v>1.161</v>
      </c>
      <c r="M8" s="1" t="n">
        <v>-0.0247</v>
      </c>
      <c r="N8" s="1" t="n">
        <v>0.5</v>
      </c>
      <c r="O8" s="6" t="n">
        <v>8.98E-006</v>
      </c>
      <c r="P8" s="1" t="n">
        <v>0.01539</v>
      </c>
      <c r="Q8" s="1" t="n">
        <v>1.004</v>
      </c>
      <c r="R8" s="1" t="n">
        <v>0.4639</v>
      </c>
    </row>
    <row r="9" customFormat="false" ht="12.8" hidden="false" customHeight="false" outlineLevel="0" collapsed="false">
      <c r="A9" s="1" t="n">
        <v>8</v>
      </c>
      <c r="B9" s="4" t="s">
        <v>18</v>
      </c>
      <c r="C9" s="4" t="str">
        <f aca="false">IF(LEFT(E9,2)="S5","Spritz","Standard")</f>
        <v>Standard</v>
      </c>
      <c r="D9" s="4" t="n">
        <f aca="false">IF(RIGHT(E9,2)=".1",1,IF(RIGHT(E9,2)=".2",2,0))</f>
        <v>0</v>
      </c>
      <c r="E9" s="5" t="s">
        <v>19</v>
      </c>
      <c r="F9" s="1" t="s">
        <v>20</v>
      </c>
      <c r="G9" s="1" t="n">
        <v>76.02</v>
      </c>
      <c r="H9" s="1" t="n">
        <v>61.94</v>
      </c>
      <c r="I9" s="1" t="n">
        <v>25.03</v>
      </c>
      <c r="J9" s="1" t="n">
        <v>0.5235</v>
      </c>
      <c r="K9" s="1" t="n">
        <v>0.577</v>
      </c>
      <c r="L9" s="1" t="n">
        <v>0.9073</v>
      </c>
      <c r="M9" s="1" t="n">
        <v>-0.02432</v>
      </c>
      <c r="N9" s="1" t="n">
        <v>0.5</v>
      </c>
      <c r="O9" s="6" t="n">
        <v>8.771E-006</v>
      </c>
      <c r="P9" s="1" t="n">
        <v>0.01923</v>
      </c>
      <c r="Q9" s="1" t="n">
        <v>0.9009</v>
      </c>
      <c r="R9" s="1" t="n">
        <v>0.6012</v>
      </c>
    </row>
    <row r="10" customFormat="false" ht="12.8" hidden="false" customHeight="false" outlineLevel="0" collapsed="false">
      <c r="A10" s="1" t="n">
        <v>9</v>
      </c>
      <c r="B10" s="4" t="s">
        <v>18</v>
      </c>
      <c r="C10" s="4" t="str">
        <f aca="false">IF(LEFT(E10,2)="S5","Spritz","Standard")</f>
        <v>Standard</v>
      </c>
      <c r="D10" s="4" t="n">
        <f aca="false">IF(RIGHT(E10,2)=".1",1,IF(RIGHT(E10,2)=".2",2,0))</f>
        <v>0</v>
      </c>
      <c r="E10" s="5" t="s">
        <v>19</v>
      </c>
      <c r="F10" s="1" t="s">
        <v>20</v>
      </c>
      <c r="G10" s="1" t="n">
        <v>83.76</v>
      </c>
      <c r="H10" s="1" t="n">
        <v>69.68</v>
      </c>
      <c r="I10" s="1" t="n">
        <v>25.02</v>
      </c>
      <c r="J10" s="1" t="n">
        <v>0.5747</v>
      </c>
      <c r="K10" s="1" t="n">
        <v>0.721</v>
      </c>
      <c r="L10" s="1" t="n">
        <v>0.797</v>
      </c>
      <c r="M10" s="1" t="n">
        <v>-0.02412</v>
      </c>
      <c r="N10" s="1" t="n">
        <v>0.5</v>
      </c>
      <c r="O10" s="6" t="n">
        <v>9.627E-006</v>
      </c>
      <c r="P10" s="1" t="n">
        <v>0.02403</v>
      </c>
      <c r="Q10" s="1" t="n">
        <v>1.001</v>
      </c>
      <c r="R10" s="1" t="n">
        <v>0.7729</v>
      </c>
    </row>
    <row r="11" customFormat="false" ht="12.8" hidden="false" customHeight="false" outlineLevel="0" collapsed="false">
      <c r="A11" s="1" t="n">
        <v>10</v>
      </c>
      <c r="B11" s="4" t="s">
        <v>18</v>
      </c>
      <c r="C11" s="4" t="str">
        <f aca="false">IF(LEFT(E11,2)="S5","Spritz","Standard")</f>
        <v>Standard</v>
      </c>
      <c r="D11" s="4" t="n">
        <f aca="false">IF(RIGHT(E11,2)=".1",1,IF(RIGHT(E11,2)=".2",2,0))</f>
        <v>0</v>
      </c>
      <c r="E11" s="5" t="s">
        <v>19</v>
      </c>
      <c r="F11" s="1" t="s">
        <v>20</v>
      </c>
      <c r="G11" s="1" t="n">
        <v>91.51</v>
      </c>
      <c r="H11" s="1" t="n">
        <v>77.42</v>
      </c>
      <c r="I11" s="1" t="n">
        <v>25.02</v>
      </c>
      <c r="J11" s="1" t="n">
        <v>0.6298</v>
      </c>
      <c r="K11" s="1" t="n">
        <v>0.9011</v>
      </c>
      <c r="L11" s="1" t="n">
        <v>0.6989</v>
      </c>
      <c r="M11" s="1" t="n">
        <v>-0.02369</v>
      </c>
      <c r="N11" s="1" t="n">
        <v>0.5</v>
      </c>
      <c r="O11" s="6" t="n">
        <v>1.055E-005</v>
      </c>
      <c r="P11" s="1" t="n">
        <v>0.03004</v>
      </c>
      <c r="Q11" s="1" t="n">
        <v>0.9086</v>
      </c>
      <c r="R11" s="1" t="n">
        <v>0.9875</v>
      </c>
    </row>
    <row r="12" customFormat="false" ht="12.8" hidden="false" customHeight="false" outlineLevel="0" collapsed="false">
      <c r="A12" s="1" t="n">
        <v>11</v>
      </c>
      <c r="B12" s="4" t="s">
        <v>18</v>
      </c>
      <c r="C12" s="4" t="str">
        <f aca="false">IF(LEFT(E12,2)="S5","Spritz","Standard")</f>
        <v>Standard</v>
      </c>
      <c r="D12" s="4" t="n">
        <f aca="false">IF(RIGHT(E12,2)=".1",1,IF(RIGHT(E12,2)=".2",2,0))</f>
        <v>0</v>
      </c>
      <c r="E12" s="5" t="s">
        <v>19</v>
      </c>
      <c r="F12" s="1" t="s">
        <v>20</v>
      </c>
      <c r="G12" s="1" t="n">
        <v>99.25</v>
      </c>
      <c r="H12" s="1" t="n">
        <v>85.16</v>
      </c>
      <c r="I12" s="1" t="n">
        <v>25.02</v>
      </c>
      <c r="J12" s="1" t="n">
        <v>0.7933</v>
      </c>
      <c r="K12" s="1" t="n">
        <v>1.126</v>
      </c>
      <c r="L12" s="1" t="n">
        <v>0.7046</v>
      </c>
      <c r="M12" s="1" t="n">
        <v>-0.02369</v>
      </c>
      <c r="N12" s="1" t="n">
        <v>0.5</v>
      </c>
      <c r="O12" s="6" t="n">
        <v>1.329E-005</v>
      </c>
      <c r="P12" s="1" t="n">
        <v>0.03753</v>
      </c>
      <c r="Q12" s="1" t="n">
        <v>0.8763</v>
      </c>
      <c r="R12" s="1" t="n">
        <v>1.255</v>
      </c>
    </row>
    <row r="13" customFormat="false" ht="12.8" hidden="false" customHeight="false" outlineLevel="0" collapsed="false">
      <c r="A13" s="1" t="n">
        <v>12</v>
      </c>
      <c r="B13" s="4" t="s">
        <v>18</v>
      </c>
      <c r="C13" s="4" t="str">
        <f aca="false">IF(LEFT(E13,2)="S5","Spritz","Standard")</f>
        <v>Standard</v>
      </c>
      <c r="D13" s="4" t="n">
        <f aca="false">IF(RIGHT(E13,2)=".1",1,IF(RIGHT(E13,2)=".2",2,0))</f>
        <v>0</v>
      </c>
      <c r="E13" s="5" t="s">
        <v>19</v>
      </c>
      <c r="F13" s="1" t="s">
        <v>20</v>
      </c>
      <c r="G13" s="1" t="n">
        <v>107</v>
      </c>
      <c r="H13" s="1" t="n">
        <v>92.9</v>
      </c>
      <c r="I13" s="1" t="n">
        <v>25.02</v>
      </c>
      <c r="J13" s="1" t="n">
        <v>0.4331</v>
      </c>
      <c r="K13" s="1" t="n">
        <v>1.407</v>
      </c>
      <c r="L13" s="1" t="n">
        <v>0.3078</v>
      </c>
      <c r="M13" s="1" t="n">
        <v>-0.02413</v>
      </c>
      <c r="N13" s="1" t="n">
        <v>0.5</v>
      </c>
      <c r="O13" s="6" t="n">
        <v>7.255E-006</v>
      </c>
      <c r="P13" s="1" t="n">
        <v>0.04691</v>
      </c>
      <c r="Q13" s="1" t="n">
        <v>1.87</v>
      </c>
      <c r="R13" s="1" t="n">
        <v>1.591</v>
      </c>
    </row>
    <row r="14" customFormat="false" ht="12.8" hidden="false" customHeight="false" outlineLevel="0" collapsed="false">
      <c r="A14" s="1" t="n">
        <v>13</v>
      </c>
      <c r="B14" s="4" t="s">
        <v>18</v>
      </c>
      <c r="C14" s="4" t="str">
        <f aca="false">IF(LEFT(E14,2)="S5","Spritz","Standard")</f>
        <v>Standard</v>
      </c>
      <c r="D14" s="4" t="n">
        <f aca="false">IF(RIGHT(E14,2)=".1",1,IF(RIGHT(E14,2)=".2",2,0))</f>
        <v>0</v>
      </c>
      <c r="E14" s="5" t="s">
        <v>19</v>
      </c>
      <c r="F14" s="1" t="s">
        <v>20</v>
      </c>
      <c r="G14" s="1" t="n">
        <v>114.7</v>
      </c>
      <c r="H14" s="1" t="n">
        <v>100.6</v>
      </c>
      <c r="I14" s="1" t="n">
        <v>25.02</v>
      </c>
      <c r="J14" s="1" t="n">
        <v>0.3969</v>
      </c>
      <c r="K14" s="1" t="n">
        <v>1.758</v>
      </c>
      <c r="L14" s="1" t="n">
        <v>0.2258</v>
      </c>
      <c r="M14" s="1" t="n">
        <v>-0.02428</v>
      </c>
      <c r="N14" s="1" t="n">
        <v>0.5</v>
      </c>
      <c r="O14" s="6" t="n">
        <v>6.65E-006</v>
      </c>
      <c r="P14" s="1" t="n">
        <v>0.05861</v>
      </c>
      <c r="Q14" s="1" t="n">
        <v>1.763</v>
      </c>
      <c r="R14" s="1" t="n">
        <v>2.009</v>
      </c>
    </row>
    <row r="15" customFormat="false" ht="12.8" hidden="false" customHeight="false" outlineLevel="0" collapsed="false">
      <c r="A15" s="1" t="n">
        <v>14</v>
      </c>
      <c r="B15" s="4" t="s">
        <v>18</v>
      </c>
      <c r="C15" s="4" t="str">
        <f aca="false">IF(LEFT(E15,2)="S5","Spritz","Standard")</f>
        <v>Standard</v>
      </c>
      <c r="D15" s="4" t="n">
        <f aca="false">IF(RIGHT(E15,2)=".1",1,IF(RIGHT(E15,2)=".2",2,0))</f>
        <v>0</v>
      </c>
      <c r="E15" s="5" t="s">
        <v>19</v>
      </c>
      <c r="F15" s="1" t="s">
        <v>20</v>
      </c>
      <c r="G15" s="1" t="n">
        <v>122.5</v>
      </c>
      <c r="H15" s="1" t="n">
        <v>108.4</v>
      </c>
      <c r="I15" s="1" t="n">
        <v>25.02</v>
      </c>
      <c r="J15" s="1" t="n">
        <v>0.5643</v>
      </c>
      <c r="K15" s="1" t="n">
        <v>2.197</v>
      </c>
      <c r="L15" s="1" t="n">
        <v>0.2568</v>
      </c>
      <c r="M15" s="1" t="n">
        <v>-0.02415</v>
      </c>
      <c r="N15" s="1" t="n">
        <v>0.5</v>
      </c>
      <c r="O15" s="6" t="n">
        <v>9.453E-006</v>
      </c>
      <c r="P15" s="1" t="n">
        <v>0.07325</v>
      </c>
      <c r="Q15" s="1" t="n">
        <v>0.8077</v>
      </c>
      <c r="R15" s="1" t="n">
        <v>2.532</v>
      </c>
    </row>
    <row r="16" customFormat="false" ht="12.8" hidden="false" customHeight="false" outlineLevel="0" collapsed="false">
      <c r="A16" s="1" t="n">
        <v>15</v>
      </c>
      <c r="B16" s="4" t="s">
        <v>18</v>
      </c>
      <c r="C16" s="4" t="str">
        <f aca="false">IF(LEFT(E16,2)="S5","Spritz","Standard")</f>
        <v>Standard</v>
      </c>
      <c r="D16" s="4" t="n">
        <f aca="false">IF(RIGHT(E16,2)=".1",1,IF(RIGHT(E16,2)=".2",2,0))</f>
        <v>0</v>
      </c>
      <c r="E16" s="5" t="s">
        <v>19</v>
      </c>
      <c r="F16" s="1" t="s">
        <v>20</v>
      </c>
      <c r="G16" s="1" t="n">
        <v>130.2</v>
      </c>
      <c r="H16" s="1" t="n">
        <v>116.1</v>
      </c>
      <c r="I16" s="1" t="n">
        <v>25.01</v>
      </c>
      <c r="J16" s="1" t="n">
        <v>0.5975</v>
      </c>
      <c r="K16" s="1" t="n">
        <v>2.746</v>
      </c>
      <c r="L16" s="1" t="n">
        <v>0.2176</v>
      </c>
      <c r="M16" s="1" t="n">
        <v>-0.02488</v>
      </c>
      <c r="N16" s="1" t="n">
        <v>0.5</v>
      </c>
      <c r="O16" s="6" t="n">
        <v>1.001E-005</v>
      </c>
      <c r="P16" s="1" t="n">
        <v>0.09154</v>
      </c>
      <c r="Q16" s="1" t="n">
        <v>1.346</v>
      </c>
      <c r="R16" s="1" t="n">
        <v>3.186</v>
      </c>
    </row>
    <row r="17" customFormat="false" ht="12.8" hidden="false" customHeight="false" outlineLevel="0" collapsed="false">
      <c r="A17" s="1" t="n">
        <v>16</v>
      </c>
      <c r="B17" s="4" t="s">
        <v>18</v>
      </c>
      <c r="C17" s="4" t="str">
        <f aca="false">IF(LEFT(E17,2)="S5","Spritz","Standard")</f>
        <v>Standard</v>
      </c>
      <c r="D17" s="4" t="n">
        <f aca="false">IF(RIGHT(E17,2)=".1",1,IF(RIGHT(E17,2)=".2",2,0))</f>
        <v>0</v>
      </c>
      <c r="E17" s="5" t="s">
        <v>19</v>
      </c>
      <c r="F17" s="1" t="s">
        <v>20</v>
      </c>
      <c r="G17" s="1" t="n">
        <v>138</v>
      </c>
      <c r="H17" s="1" t="n">
        <v>123.9</v>
      </c>
      <c r="I17" s="1" t="n">
        <v>25.01</v>
      </c>
      <c r="J17" s="1" t="n">
        <v>0.7195</v>
      </c>
      <c r="K17" s="1" t="n">
        <v>3.431</v>
      </c>
      <c r="L17" s="1" t="n">
        <v>0.2097</v>
      </c>
      <c r="M17" s="1" t="n">
        <v>-0.02515</v>
      </c>
      <c r="N17" s="1" t="n">
        <v>0.5</v>
      </c>
      <c r="O17" s="6" t="n">
        <v>1.205E-005</v>
      </c>
      <c r="P17" s="1" t="n">
        <v>0.1144</v>
      </c>
      <c r="Q17" s="1" t="n">
        <v>1.119</v>
      </c>
      <c r="R17" s="1" t="n">
        <v>4.003</v>
      </c>
    </row>
    <row r="18" customFormat="false" ht="12.8" hidden="false" customHeight="false" outlineLevel="0" collapsed="false">
      <c r="A18" s="1" t="n">
        <v>17</v>
      </c>
      <c r="B18" s="4" t="s">
        <v>18</v>
      </c>
      <c r="C18" s="4" t="str">
        <f aca="false">IF(LEFT(E18,2)="S5","Spritz","Standard")</f>
        <v>Standard</v>
      </c>
      <c r="D18" s="4" t="n">
        <f aca="false">IF(RIGHT(E18,2)=".1",1,IF(RIGHT(E18,2)=".2",2,0))</f>
        <v>0</v>
      </c>
      <c r="E18" s="5" t="s">
        <v>19</v>
      </c>
      <c r="F18" s="1" t="s">
        <v>20</v>
      </c>
      <c r="G18" s="1" t="n">
        <v>145.7</v>
      </c>
      <c r="H18" s="1" t="n">
        <v>131.6</v>
      </c>
      <c r="I18" s="1" t="n">
        <v>25.01</v>
      </c>
      <c r="J18" s="1" t="n">
        <v>0.9208</v>
      </c>
      <c r="K18" s="1" t="n">
        <v>4.288</v>
      </c>
      <c r="L18" s="1" t="n">
        <v>0.2147</v>
      </c>
      <c r="M18" s="1" t="n">
        <v>-0.0237</v>
      </c>
      <c r="N18" s="1" t="n">
        <v>0.5</v>
      </c>
      <c r="O18" s="6" t="n">
        <v>1.543E-005</v>
      </c>
      <c r="P18" s="1" t="n">
        <v>0.1429</v>
      </c>
      <c r="Q18" s="1" t="n">
        <v>0.8425</v>
      </c>
      <c r="R18" s="1" t="n">
        <v>5.024</v>
      </c>
    </row>
    <row r="19" customFormat="false" ht="12.8" hidden="false" customHeight="false" outlineLevel="0" collapsed="false">
      <c r="A19" s="1" t="n">
        <v>18</v>
      </c>
      <c r="B19" s="4" t="s">
        <v>18</v>
      </c>
      <c r="C19" s="4" t="str">
        <f aca="false">IF(LEFT(E19,2)="S5","Spritz","Standard")</f>
        <v>Standard</v>
      </c>
      <c r="D19" s="4" t="n">
        <f aca="false">IF(RIGHT(E19,2)=".1",1,IF(RIGHT(E19,2)=".2",2,0))</f>
        <v>0</v>
      </c>
      <c r="E19" s="5" t="s">
        <v>19</v>
      </c>
      <c r="F19" s="1" t="s">
        <v>20</v>
      </c>
      <c r="G19" s="1" t="n">
        <v>153.4</v>
      </c>
      <c r="H19" s="1" t="n">
        <v>139.4</v>
      </c>
      <c r="I19" s="1" t="n">
        <v>25.01</v>
      </c>
      <c r="J19" s="1" t="n">
        <v>1.302</v>
      </c>
      <c r="K19" s="1" t="n">
        <v>5.358</v>
      </c>
      <c r="L19" s="1" t="n">
        <v>0.243</v>
      </c>
      <c r="M19" s="1" t="n">
        <v>-0.02467</v>
      </c>
      <c r="N19" s="1" t="n">
        <v>0.5</v>
      </c>
      <c r="O19" s="6" t="n">
        <v>2.181E-005</v>
      </c>
      <c r="P19" s="1" t="n">
        <v>0.1786</v>
      </c>
      <c r="Q19" s="1" t="n">
        <v>0.9858</v>
      </c>
      <c r="R19" s="1" t="n">
        <v>0.0161</v>
      </c>
    </row>
    <row r="20" customFormat="false" ht="12.8" hidden="false" customHeight="false" outlineLevel="0" collapsed="false">
      <c r="A20" s="1" t="n">
        <v>19</v>
      </c>
      <c r="B20" s="4" t="s">
        <v>18</v>
      </c>
      <c r="C20" s="4" t="str">
        <f aca="false">IF(LEFT(E20,2)="S5","Spritz","Standard")</f>
        <v>Standard</v>
      </c>
      <c r="D20" s="4" t="n">
        <f aca="false">IF(RIGHT(E20,2)=".1",1,IF(RIGHT(E20,2)=".2",2,0))</f>
        <v>0</v>
      </c>
      <c r="E20" s="5" t="s">
        <v>19</v>
      </c>
      <c r="F20" s="1" t="s">
        <v>20</v>
      </c>
      <c r="G20" s="1" t="n">
        <v>161.2</v>
      </c>
      <c r="H20" s="1" t="n">
        <v>147.1</v>
      </c>
      <c r="I20" s="1" t="n">
        <v>25.01</v>
      </c>
      <c r="J20" s="1" t="n">
        <v>0.7406</v>
      </c>
      <c r="K20" s="1" t="n">
        <v>6.695</v>
      </c>
      <c r="L20" s="1" t="n">
        <v>0.1106</v>
      </c>
      <c r="M20" s="1" t="n">
        <v>-0.02448</v>
      </c>
      <c r="N20" s="1" t="n">
        <v>0.5</v>
      </c>
      <c r="O20" s="6" t="n">
        <v>1.241E-005</v>
      </c>
      <c r="P20" s="1" t="n">
        <v>0.2232</v>
      </c>
      <c r="Q20" s="1" t="n">
        <v>0.8945</v>
      </c>
      <c r="R20" s="1" t="n">
        <v>1.61</v>
      </c>
    </row>
    <row r="21" customFormat="false" ht="12.8" hidden="false" customHeight="false" outlineLevel="0" collapsed="false">
      <c r="A21" s="1" t="n">
        <v>20</v>
      </c>
      <c r="B21" s="4" t="s">
        <v>18</v>
      </c>
      <c r="C21" s="4" t="str">
        <f aca="false">IF(LEFT(E21,2)="S5","Spritz","Standard")</f>
        <v>Standard</v>
      </c>
      <c r="D21" s="4" t="n">
        <f aca="false">IF(RIGHT(E21,2)=".1",1,IF(RIGHT(E21,2)=".2",2,0))</f>
        <v>0</v>
      </c>
      <c r="E21" s="5" t="s">
        <v>19</v>
      </c>
      <c r="F21" s="1" t="s">
        <v>20</v>
      </c>
      <c r="G21" s="1" t="n">
        <v>168.9</v>
      </c>
      <c r="H21" s="1" t="n">
        <v>154.8</v>
      </c>
      <c r="I21" s="1" t="n">
        <v>25.01</v>
      </c>
      <c r="J21" s="1" t="n">
        <v>0.6379</v>
      </c>
      <c r="K21" s="1" t="n">
        <v>8.367</v>
      </c>
      <c r="L21" s="1" t="n">
        <v>0.07623</v>
      </c>
      <c r="M21" s="1" t="n">
        <v>-0.02568</v>
      </c>
      <c r="N21" s="1" t="n">
        <v>0.5</v>
      </c>
      <c r="O21" s="6" t="n">
        <v>1.069E-005</v>
      </c>
      <c r="P21" s="1" t="n">
        <v>0.2789</v>
      </c>
      <c r="Q21" s="1" t="n">
        <v>1.157</v>
      </c>
      <c r="R21" s="1" t="n">
        <v>3.602</v>
      </c>
    </row>
    <row r="22" customFormat="false" ht="12.8" hidden="false" customHeight="false" outlineLevel="0" collapsed="false">
      <c r="A22" s="1" t="n">
        <v>21</v>
      </c>
      <c r="B22" s="4" t="s">
        <v>18</v>
      </c>
      <c r="C22" s="4" t="str">
        <f aca="false">IF(LEFT(E22,2)="S5","Spritz","Standard")</f>
        <v>Standard</v>
      </c>
      <c r="D22" s="4" t="n">
        <f aca="false">IF(RIGHT(E22,2)=".1",1,IF(RIGHT(E22,2)=".2",2,0))</f>
        <v>0</v>
      </c>
      <c r="E22" s="5" t="s">
        <v>19</v>
      </c>
      <c r="F22" s="1" t="s">
        <v>20</v>
      </c>
      <c r="G22" s="1" t="n">
        <v>176.7</v>
      </c>
      <c r="H22" s="1" t="n">
        <v>162.6</v>
      </c>
      <c r="I22" s="1" t="n">
        <v>25.01</v>
      </c>
      <c r="J22" s="1" t="n">
        <v>0.7981</v>
      </c>
      <c r="K22" s="1" t="n">
        <v>10.46</v>
      </c>
      <c r="L22" s="1" t="n">
        <v>0.07633</v>
      </c>
      <c r="M22" s="1" t="n">
        <v>-0.02447</v>
      </c>
      <c r="N22" s="1" t="n">
        <v>0.5</v>
      </c>
      <c r="O22" s="6" t="n">
        <v>1.337E-005</v>
      </c>
      <c r="P22" s="1" t="n">
        <v>0.3485</v>
      </c>
      <c r="Q22" s="1" t="n">
        <v>0.7338</v>
      </c>
      <c r="R22" s="1" t="n">
        <v>6.091</v>
      </c>
    </row>
    <row r="23" customFormat="false" ht="12.8" hidden="false" customHeight="false" outlineLevel="0" collapsed="false">
      <c r="A23" s="1" t="n">
        <v>22</v>
      </c>
      <c r="B23" s="4" t="s">
        <v>18</v>
      </c>
      <c r="C23" s="4" t="str">
        <f aca="false">IF(LEFT(E23,2)="S5","Spritz","Standard")</f>
        <v>Standard</v>
      </c>
      <c r="D23" s="4" t="n">
        <f aca="false">IF(RIGHT(E23,2)=".1",1,IF(RIGHT(E23,2)=".2",2,0))</f>
        <v>0</v>
      </c>
      <c r="E23" s="5" t="s">
        <v>19</v>
      </c>
      <c r="F23" s="1" t="s">
        <v>20</v>
      </c>
      <c r="G23" s="1" t="n">
        <v>184.4</v>
      </c>
      <c r="H23" s="1" t="n">
        <v>170.3</v>
      </c>
      <c r="I23" s="1" t="n">
        <v>25.01</v>
      </c>
      <c r="J23" s="1" t="n">
        <v>0.7839</v>
      </c>
      <c r="K23" s="1" t="n">
        <v>13.07</v>
      </c>
      <c r="L23" s="1" t="n">
        <v>0.05999</v>
      </c>
      <c r="M23" s="1" t="n">
        <v>-0.02514</v>
      </c>
      <c r="N23" s="1" t="n">
        <v>0.5</v>
      </c>
      <c r="O23" s="6" t="n">
        <v>1.313E-005</v>
      </c>
      <c r="P23" s="1" t="n">
        <v>0.4356</v>
      </c>
      <c r="Q23" s="1" t="n">
        <v>1.365</v>
      </c>
      <c r="R23" s="1" t="n">
        <v>2.92</v>
      </c>
    </row>
    <row r="24" customFormat="false" ht="12.8" hidden="false" customHeight="false" outlineLevel="0" collapsed="false">
      <c r="A24" s="1" t="n">
        <v>23</v>
      </c>
      <c r="B24" s="4" t="s">
        <v>18</v>
      </c>
      <c r="C24" s="4" t="str">
        <f aca="false">IF(LEFT(E24,2)="S5","Spritz","Standard")</f>
        <v>Standard</v>
      </c>
      <c r="D24" s="4" t="n">
        <f aca="false">IF(RIGHT(E24,2)=".1",1,IF(RIGHT(E24,2)=".2",2,0))</f>
        <v>0</v>
      </c>
      <c r="E24" s="5" t="s">
        <v>19</v>
      </c>
      <c r="F24" s="1" t="s">
        <v>20</v>
      </c>
      <c r="G24" s="1" t="n">
        <v>192.2</v>
      </c>
      <c r="H24" s="1" t="n">
        <v>178.1</v>
      </c>
      <c r="I24" s="1" t="n">
        <v>25.01</v>
      </c>
      <c r="J24" s="1" t="n">
        <v>1.006</v>
      </c>
      <c r="K24" s="1" t="n">
        <v>16.33</v>
      </c>
      <c r="L24" s="1" t="n">
        <v>0.06163</v>
      </c>
      <c r="M24" s="1" t="n">
        <v>-0.0252</v>
      </c>
      <c r="N24" s="1" t="n">
        <v>0.5</v>
      </c>
      <c r="O24" s="6" t="n">
        <v>1.686E-005</v>
      </c>
      <c r="P24" s="1" t="n">
        <v>0.5443</v>
      </c>
      <c r="Q24" s="1" t="n">
        <v>1.071</v>
      </c>
      <c r="R24" s="1" t="n">
        <v>0.523</v>
      </c>
    </row>
    <row r="25" customFormat="false" ht="12.8" hidden="false" customHeight="false" outlineLevel="0" collapsed="false">
      <c r="A25" s="1" t="n">
        <v>24</v>
      </c>
      <c r="B25" s="4" t="s">
        <v>18</v>
      </c>
      <c r="C25" s="4" t="str">
        <f aca="false">IF(LEFT(E25,2)="S5","Spritz","Standard")</f>
        <v>Standard</v>
      </c>
      <c r="D25" s="4" t="n">
        <f aca="false">IF(RIGHT(E25,2)=".1",1,IF(RIGHT(E25,2)=".2",2,0))</f>
        <v>0</v>
      </c>
      <c r="E25" s="5" t="s">
        <v>19</v>
      </c>
      <c r="F25" s="1" t="s">
        <v>20</v>
      </c>
      <c r="G25" s="1" t="n">
        <v>199.9</v>
      </c>
      <c r="H25" s="1" t="n">
        <v>185.8</v>
      </c>
      <c r="I25" s="1" t="n">
        <v>25.01</v>
      </c>
      <c r="J25" s="1" t="n">
        <v>0.8188</v>
      </c>
      <c r="K25" s="1" t="n">
        <v>20.4</v>
      </c>
      <c r="L25" s="1" t="n">
        <v>0.04013</v>
      </c>
      <c r="M25" s="1" t="n">
        <v>-0.02498</v>
      </c>
      <c r="N25" s="1" t="n">
        <v>0.5</v>
      </c>
      <c r="O25" s="6" t="n">
        <v>1.372E-005</v>
      </c>
      <c r="P25" s="1" t="n">
        <v>0.6801</v>
      </c>
      <c r="Q25" s="1" t="n">
        <v>1.012</v>
      </c>
      <c r="R25" s="1" t="n">
        <v>5.379</v>
      </c>
    </row>
    <row r="26" customFormat="false" ht="12.8" hidden="false" customHeight="false" outlineLevel="0" collapsed="false">
      <c r="A26" s="1" t="n">
        <v>25</v>
      </c>
      <c r="B26" s="4" t="s">
        <v>18</v>
      </c>
      <c r="C26" s="4" t="str">
        <f aca="false">IF(LEFT(E26,2)="S5","Spritz","Standard")</f>
        <v>Standard</v>
      </c>
      <c r="D26" s="4" t="n">
        <f aca="false">IF(RIGHT(E26,2)=".1",1,IF(RIGHT(E26,2)=".2",2,0))</f>
        <v>0</v>
      </c>
      <c r="E26" s="5" t="s">
        <v>19</v>
      </c>
      <c r="F26" s="1" t="s">
        <v>20</v>
      </c>
      <c r="G26" s="1" t="n">
        <v>207.6</v>
      </c>
      <c r="H26" s="1" t="n">
        <v>193.5</v>
      </c>
      <c r="I26" s="1" t="n">
        <v>25</v>
      </c>
      <c r="J26" s="1" t="n">
        <v>1.919</v>
      </c>
      <c r="K26" s="1" t="n">
        <v>25.5</v>
      </c>
      <c r="L26" s="1" t="n">
        <v>0.07526</v>
      </c>
      <c r="M26" s="1" t="n">
        <v>-0.02143</v>
      </c>
      <c r="N26" s="1" t="n">
        <v>0.5</v>
      </c>
      <c r="O26" s="6" t="n">
        <v>3.215E-005</v>
      </c>
      <c r="P26" s="1" t="n">
        <v>0.8499</v>
      </c>
      <c r="Q26" s="1" t="n">
        <v>-0.2396</v>
      </c>
      <c r="R26" s="1" t="n">
        <v>5.168</v>
      </c>
    </row>
    <row r="27" customFormat="false" ht="12.8" hidden="false" customHeight="false" outlineLevel="0" collapsed="false">
      <c r="A27" s="1" t="n">
        <v>26</v>
      </c>
      <c r="B27" s="4" t="s">
        <v>18</v>
      </c>
      <c r="C27" s="4" t="str">
        <f aca="false">IF(LEFT(E27,2)="S5","Spritz","Standard")</f>
        <v>Standard</v>
      </c>
      <c r="D27" s="4" t="n">
        <f aca="false">IF(RIGHT(E27,2)=".1",1,IF(RIGHT(E27,2)=".2",2,0))</f>
        <v>0</v>
      </c>
      <c r="E27" s="5" t="s">
        <v>19</v>
      </c>
      <c r="F27" s="1" t="s">
        <v>20</v>
      </c>
      <c r="G27" s="1" t="n">
        <v>215.4</v>
      </c>
      <c r="H27" s="1" t="n">
        <v>201.3</v>
      </c>
      <c r="I27" s="1" t="n">
        <v>25.01</v>
      </c>
      <c r="J27" s="1" t="n">
        <v>1.557</v>
      </c>
      <c r="K27" s="1" t="n">
        <v>31.86</v>
      </c>
      <c r="L27" s="1" t="n">
        <v>0.04886</v>
      </c>
      <c r="M27" s="1" t="n">
        <v>-0.02422</v>
      </c>
      <c r="N27" s="1" t="n">
        <v>0.5</v>
      </c>
      <c r="O27" s="6" t="n">
        <v>2.608E-005</v>
      </c>
      <c r="P27" s="1" t="n">
        <v>1.062</v>
      </c>
      <c r="Q27" s="1" t="n">
        <v>0.5429</v>
      </c>
      <c r="R27" s="1" t="n">
        <v>0.1854</v>
      </c>
    </row>
    <row r="28" customFormat="false" ht="12.8" hidden="false" customHeight="false" outlineLevel="0" collapsed="false">
      <c r="A28" s="1" t="n">
        <v>27</v>
      </c>
      <c r="B28" s="4" t="s">
        <v>18</v>
      </c>
      <c r="C28" s="4" t="str">
        <f aca="false">IF(LEFT(E28,2)="S5","Spritz","Standard")</f>
        <v>Standard</v>
      </c>
      <c r="D28" s="4" t="n">
        <f aca="false">IF(RIGHT(E28,2)=".1",1,IF(RIGHT(E28,2)=".2",2,0))</f>
        <v>0</v>
      </c>
      <c r="E28" s="5" t="s">
        <v>19</v>
      </c>
      <c r="F28" s="1" t="s">
        <v>20</v>
      </c>
      <c r="G28" s="1" t="n">
        <v>223.1</v>
      </c>
      <c r="H28" s="1" t="n">
        <v>209</v>
      </c>
      <c r="I28" s="1" t="n">
        <v>25.01</v>
      </c>
      <c r="J28" s="1" t="n">
        <v>1.408</v>
      </c>
      <c r="K28" s="1" t="n">
        <v>39.81</v>
      </c>
      <c r="L28" s="1" t="n">
        <v>0.03536</v>
      </c>
      <c r="M28" s="1" t="n">
        <v>-0.02733</v>
      </c>
      <c r="N28" s="1" t="n">
        <v>0.5</v>
      </c>
      <c r="O28" s="6" t="n">
        <v>2.358E-005</v>
      </c>
      <c r="P28" s="1" t="n">
        <v>1.327</v>
      </c>
      <c r="Q28" s="1" t="n">
        <v>1.233</v>
      </c>
      <c r="R28" s="1" t="n">
        <v>3.378</v>
      </c>
    </row>
    <row r="29" customFormat="false" ht="12.8" hidden="false" customHeight="false" outlineLevel="0" collapsed="false">
      <c r="A29" s="1" t="n">
        <v>28</v>
      </c>
      <c r="B29" s="4" t="s">
        <v>18</v>
      </c>
      <c r="C29" s="4" t="str">
        <f aca="false">IF(LEFT(E29,2)="S5","Spritz","Standard")</f>
        <v>Standard</v>
      </c>
      <c r="D29" s="4" t="n">
        <f aca="false">IF(RIGHT(E29,2)=".1",1,IF(RIGHT(E29,2)=".2",2,0))</f>
        <v>0</v>
      </c>
      <c r="E29" s="5" t="s">
        <v>19</v>
      </c>
      <c r="F29" s="1" t="s">
        <v>20</v>
      </c>
      <c r="G29" s="1" t="n">
        <v>230.9</v>
      </c>
      <c r="H29" s="1" t="n">
        <v>216.8</v>
      </c>
      <c r="I29" s="1" t="n">
        <v>25.01</v>
      </c>
      <c r="J29" s="1" t="n">
        <v>1.479</v>
      </c>
      <c r="K29" s="1" t="n">
        <v>49.75</v>
      </c>
      <c r="L29" s="1" t="n">
        <v>0.02973</v>
      </c>
      <c r="M29" s="1" t="n">
        <v>-0.02814</v>
      </c>
      <c r="N29" s="1" t="n">
        <v>0.5</v>
      </c>
      <c r="O29" s="6" t="n">
        <v>2.478E-005</v>
      </c>
      <c r="P29" s="1" t="n">
        <v>1.659</v>
      </c>
      <c r="Q29" s="1" t="n">
        <v>1.034</v>
      </c>
      <c r="R29" s="1" t="n">
        <v>2.661</v>
      </c>
    </row>
    <row r="30" customFormat="false" ht="12.8" hidden="false" customHeight="false" outlineLevel="0" collapsed="false">
      <c r="A30" s="1" t="n">
        <v>29</v>
      </c>
      <c r="B30" s="4" t="s">
        <v>18</v>
      </c>
      <c r="C30" s="4" t="str">
        <f aca="false">IF(LEFT(E30,2)="S5","Spritz","Standard")</f>
        <v>Standard</v>
      </c>
      <c r="D30" s="4" t="n">
        <f aca="false">IF(RIGHT(E30,2)=".1",1,IF(RIGHT(E30,2)=".2",2,0))</f>
        <v>0</v>
      </c>
      <c r="E30" s="5" t="s">
        <v>19</v>
      </c>
      <c r="F30" s="1" t="s">
        <v>20</v>
      </c>
      <c r="G30" s="1" t="n">
        <v>238.6</v>
      </c>
      <c r="H30" s="1" t="n">
        <v>224.5</v>
      </c>
      <c r="I30" s="1" t="n">
        <v>25.01</v>
      </c>
      <c r="J30" s="1" t="n">
        <v>1.837</v>
      </c>
      <c r="K30" s="1" t="n">
        <v>62.17</v>
      </c>
      <c r="L30" s="1" t="n">
        <v>0.02955</v>
      </c>
      <c r="M30" s="1" t="n">
        <v>-0.02879</v>
      </c>
      <c r="N30" s="1" t="n">
        <v>0.5</v>
      </c>
      <c r="O30" s="6" t="n">
        <v>3.077E-005</v>
      </c>
      <c r="P30" s="1" t="n">
        <v>2.072</v>
      </c>
      <c r="Q30" s="1" t="n">
        <v>1.442</v>
      </c>
      <c r="R30" s="1" t="n">
        <v>4.892</v>
      </c>
    </row>
    <row r="31" customFormat="false" ht="12.8" hidden="false" customHeight="false" outlineLevel="0" collapsed="false">
      <c r="A31" s="1" t="n">
        <v>30</v>
      </c>
      <c r="B31" s="4" t="s">
        <v>18</v>
      </c>
      <c r="C31" s="4" t="str">
        <f aca="false">IF(LEFT(E31,2)="S5","Spritz","Standard")</f>
        <v>Standard</v>
      </c>
      <c r="D31" s="4" t="n">
        <f aca="false">IF(RIGHT(E31,2)=".1",1,IF(RIGHT(E31,2)=".2",2,0))</f>
        <v>0</v>
      </c>
      <c r="E31" s="5" t="s">
        <v>19</v>
      </c>
      <c r="F31" s="1" t="s">
        <v>20</v>
      </c>
      <c r="G31" s="1" t="n">
        <v>246.3</v>
      </c>
      <c r="H31" s="1" t="n">
        <v>232.3</v>
      </c>
      <c r="I31" s="1" t="n">
        <v>25</v>
      </c>
      <c r="J31" s="1" t="n">
        <v>1.232</v>
      </c>
      <c r="K31" s="1" t="n">
        <v>77.7</v>
      </c>
      <c r="L31" s="1" t="n">
        <v>0.01586</v>
      </c>
      <c r="M31" s="1" t="n">
        <v>-0.03155</v>
      </c>
      <c r="N31" s="1" t="n">
        <v>0.5</v>
      </c>
      <c r="O31" s="6" t="n">
        <v>2.064E-005</v>
      </c>
      <c r="P31" s="1" t="n">
        <v>2.59</v>
      </c>
      <c r="Q31" s="1" t="n">
        <v>0.8638</v>
      </c>
      <c r="R31" s="1" t="n">
        <v>4.547</v>
      </c>
    </row>
    <row r="32" customFormat="false" ht="12.8" hidden="false" customHeight="false" outlineLevel="0" collapsed="false">
      <c r="A32" s="1" t="n">
        <v>31</v>
      </c>
      <c r="B32" s="4" t="s">
        <v>18</v>
      </c>
      <c r="C32" s="4" t="str">
        <f aca="false">IF(LEFT(E32,2)="S5","Spritz","Standard")</f>
        <v>Standard</v>
      </c>
      <c r="D32" s="4" t="n">
        <f aca="false">IF(RIGHT(E32,2)=".1",1,IF(RIGHT(E32,2)=".2",2,0))</f>
        <v>0</v>
      </c>
      <c r="E32" s="5" t="s">
        <v>19</v>
      </c>
      <c r="F32" s="1" t="s">
        <v>20</v>
      </c>
      <c r="G32" s="1" t="n">
        <v>254.1</v>
      </c>
      <c r="H32" s="1" t="n">
        <v>240</v>
      </c>
      <c r="I32" s="1" t="n">
        <v>25</v>
      </c>
      <c r="J32" s="1" t="n">
        <v>1.512</v>
      </c>
      <c r="K32" s="1" t="n">
        <v>97.09</v>
      </c>
      <c r="L32" s="1" t="n">
        <v>0.01557</v>
      </c>
      <c r="M32" s="1" t="n">
        <v>-0.03384</v>
      </c>
      <c r="N32" s="1" t="n">
        <v>0.5</v>
      </c>
      <c r="O32" s="6" t="n">
        <v>2.532E-005</v>
      </c>
      <c r="P32" s="1" t="n">
        <v>3.236</v>
      </c>
      <c r="Q32" s="1" t="n">
        <v>1.409</v>
      </c>
      <c r="R32" s="1" t="n">
        <v>2.523</v>
      </c>
    </row>
    <row r="33" customFormat="false" ht="12.8" hidden="false" customHeight="false" outlineLevel="0" collapsed="false">
      <c r="A33" s="1" t="n">
        <v>1</v>
      </c>
      <c r="B33" s="4" t="s">
        <v>18</v>
      </c>
      <c r="C33" s="4" t="str">
        <f aca="false">IF(LEFT(E33,2)="S5","Spritz","Standard")</f>
        <v>Standard</v>
      </c>
      <c r="D33" s="4" t="n">
        <v>1</v>
      </c>
      <c r="E33" s="5" t="s">
        <v>21</v>
      </c>
      <c r="F33" s="1" t="s">
        <v>20</v>
      </c>
      <c r="G33" s="1" t="n">
        <v>15.95</v>
      </c>
      <c r="H33" s="1" t="n">
        <v>7.74</v>
      </c>
      <c r="I33" s="1" t="n">
        <v>25.08</v>
      </c>
      <c r="J33" s="1" t="n">
        <v>0.9525</v>
      </c>
      <c r="K33" s="1" t="n">
        <v>0.1213</v>
      </c>
      <c r="L33" s="1" t="n">
        <v>7.855</v>
      </c>
      <c r="M33" s="1" t="n">
        <v>-0.1536</v>
      </c>
      <c r="N33" s="1" t="n">
        <v>0.5</v>
      </c>
      <c r="O33" s="6" t="n">
        <v>1.596E-005</v>
      </c>
      <c r="P33" s="6" t="n">
        <v>0.004042</v>
      </c>
      <c r="Q33" s="1" t="n">
        <v>0.9524</v>
      </c>
      <c r="R33" s="1" t="n">
        <v>2.786</v>
      </c>
    </row>
    <row r="34" customFormat="false" ht="12.8" hidden="false" customHeight="false" outlineLevel="0" collapsed="false">
      <c r="A34" s="1" t="n">
        <v>2</v>
      </c>
      <c r="B34" s="4" t="s">
        <v>18</v>
      </c>
      <c r="C34" s="4" t="str">
        <f aca="false">IF(LEFT(E34,2)="S5","Spritz","Standard")</f>
        <v>Standard</v>
      </c>
      <c r="D34" s="4" t="n">
        <v>1</v>
      </c>
      <c r="E34" s="5" t="s">
        <v>21</v>
      </c>
      <c r="F34" s="1" t="s">
        <v>20</v>
      </c>
      <c r="G34" s="1" t="n">
        <v>23.7</v>
      </c>
      <c r="H34" s="1" t="n">
        <v>15.49</v>
      </c>
      <c r="I34" s="1" t="n">
        <v>25.07</v>
      </c>
      <c r="J34" s="1" t="n">
        <v>1.22</v>
      </c>
      <c r="K34" s="1" t="n">
        <v>0.1515</v>
      </c>
      <c r="L34" s="1" t="n">
        <v>8.05</v>
      </c>
      <c r="M34" s="1" t="n">
        <v>-0.07488</v>
      </c>
      <c r="N34" s="1" t="n">
        <v>0.5</v>
      </c>
      <c r="O34" s="6" t="n">
        <v>2.044E-005</v>
      </c>
      <c r="P34" s="6" t="n">
        <v>0.005052</v>
      </c>
      <c r="Q34" s="1" t="n">
        <v>0.953</v>
      </c>
      <c r="R34" s="1" t="n">
        <v>2.822</v>
      </c>
    </row>
    <row r="35" customFormat="false" ht="12.8" hidden="false" customHeight="false" outlineLevel="0" collapsed="false">
      <c r="A35" s="1" t="n">
        <v>3</v>
      </c>
      <c r="B35" s="4" t="s">
        <v>18</v>
      </c>
      <c r="C35" s="4" t="str">
        <f aca="false">IF(LEFT(E35,2)="S5","Spritz","Standard")</f>
        <v>Standard</v>
      </c>
      <c r="D35" s="4" t="n">
        <v>1</v>
      </c>
      <c r="E35" s="5" t="s">
        <v>21</v>
      </c>
      <c r="F35" s="1" t="s">
        <v>20</v>
      </c>
      <c r="G35" s="1" t="n">
        <v>31.44</v>
      </c>
      <c r="H35" s="1" t="n">
        <v>23.23</v>
      </c>
      <c r="I35" s="1" t="n">
        <v>25.05</v>
      </c>
      <c r="J35" s="1" t="n">
        <v>1.083</v>
      </c>
      <c r="K35" s="1" t="n">
        <v>0.1894</v>
      </c>
      <c r="L35" s="1" t="n">
        <v>5.72</v>
      </c>
      <c r="M35" s="1" t="n">
        <v>-0.05952</v>
      </c>
      <c r="N35" s="1" t="n">
        <v>0.5</v>
      </c>
      <c r="O35" s="6" t="n">
        <v>1.814E-005</v>
      </c>
      <c r="P35" s="6" t="n">
        <v>0.006312</v>
      </c>
      <c r="Q35" s="1" t="n">
        <v>1.014</v>
      </c>
      <c r="R35" s="1" t="n">
        <v>2.867</v>
      </c>
    </row>
    <row r="36" customFormat="false" ht="12.8" hidden="false" customHeight="false" outlineLevel="0" collapsed="false">
      <c r="A36" s="1" t="n">
        <v>4</v>
      </c>
      <c r="B36" s="4" t="s">
        <v>18</v>
      </c>
      <c r="C36" s="4" t="str">
        <f aca="false">IF(LEFT(E36,2)="S5","Spritz","Standard")</f>
        <v>Standard</v>
      </c>
      <c r="D36" s="4" t="n">
        <v>1</v>
      </c>
      <c r="E36" s="5" t="s">
        <v>21</v>
      </c>
      <c r="F36" s="1" t="s">
        <v>20</v>
      </c>
      <c r="G36" s="1" t="n">
        <v>39.18</v>
      </c>
      <c r="H36" s="1" t="n">
        <v>30.97</v>
      </c>
      <c r="I36" s="1" t="n">
        <v>25.04</v>
      </c>
      <c r="J36" s="1" t="n">
        <v>1.088</v>
      </c>
      <c r="K36" s="1" t="n">
        <v>0.2366</v>
      </c>
      <c r="L36" s="1" t="n">
        <v>4.599</v>
      </c>
      <c r="M36" s="1" t="n">
        <v>-0.0566</v>
      </c>
      <c r="N36" s="1" t="n">
        <v>0.5</v>
      </c>
      <c r="O36" s="6" t="n">
        <v>1.823E-005</v>
      </c>
      <c r="P36" s="6" t="n">
        <v>0.007888</v>
      </c>
      <c r="Q36" s="1" t="n">
        <v>0.9842</v>
      </c>
      <c r="R36" s="1" t="n">
        <v>2.923</v>
      </c>
    </row>
    <row r="37" customFormat="false" ht="12.8" hidden="false" customHeight="false" outlineLevel="0" collapsed="false">
      <c r="A37" s="1" t="n">
        <v>5</v>
      </c>
      <c r="B37" s="4" t="s">
        <v>18</v>
      </c>
      <c r="C37" s="4" t="str">
        <f aca="false">IF(LEFT(E37,2)="S5","Spritz","Standard")</f>
        <v>Standard</v>
      </c>
      <c r="D37" s="4" t="n">
        <v>1</v>
      </c>
      <c r="E37" s="5" t="s">
        <v>21</v>
      </c>
      <c r="F37" s="1" t="s">
        <v>20</v>
      </c>
      <c r="G37" s="1" t="n">
        <v>46.92</v>
      </c>
      <c r="H37" s="1" t="n">
        <v>38.71</v>
      </c>
      <c r="I37" s="1" t="n">
        <v>25.03</v>
      </c>
      <c r="J37" s="1" t="n">
        <v>1.175</v>
      </c>
      <c r="K37" s="1" t="n">
        <v>0.2957</v>
      </c>
      <c r="L37" s="1" t="n">
        <v>3.973</v>
      </c>
      <c r="M37" s="1" t="n">
        <v>-0.0549</v>
      </c>
      <c r="N37" s="1" t="n">
        <v>0.5</v>
      </c>
      <c r="O37" s="6" t="n">
        <v>1.968E-005</v>
      </c>
      <c r="P37" s="6" t="n">
        <v>0.009857</v>
      </c>
      <c r="Q37" s="1" t="n">
        <v>1.113</v>
      </c>
      <c r="R37" s="1" t="n">
        <v>2.994</v>
      </c>
    </row>
    <row r="38" customFormat="false" ht="12.8" hidden="false" customHeight="false" outlineLevel="0" collapsed="false">
      <c r="A38" s="1" t="n">
        <v>6</v>
      </c>
      <c r="B38" s="4" t="s">
        <v>18</v>
      </c>
      <c r="C38" s="4" t="str">
        <f aca="false">IF(LEFT(E38,2)="S5","Spritz","Standard")</f>
        <v>Standard</v>
      </c>
      <c r="D38" s="4" t="n">
        <v>1</v>
      </c>
      <c r="E38" s="5" t="s">
        <v>21</v>
      </c>
      <c r="F38" s="1" t="s">
        <v>20</v>
      </c>
      <c r="G38" s="1" t="n">
        <v>54.66</v>
      </c>
      <c r="H38" s="1" t="n">
        <v>46.45</v>
      </c>
      <c r="I38" s="1" t="n">
        <v>25.02</v>
      </c>
      <c r="J38" s="1" t="n">
        <v>1.063</v>
      </c>
      <c r="K38" s="1" t="n">
        <v>0.3695</v>
      </c>
      <c r="L38" s="1" t="n">
        <v>2.877</v>
      </c>
      <c r="M38" s="1" t="n">
        <v>-0.05353</v>
      </c>
      <c r="N38" s="1" t="n">
        <v>0.5</v>
      </c>
      <c r="O38" s="6" t="n">
        <v>1.781E-005</v>
      </c>
      <c r="P38" s="1" t="n">
        <v>0.01232</v>
      </c>
      <c r="Q38" s="1" t="n">
        <v>1.02</v>
      </c>
      <c r="R38" s="1" t="n">
        <v>3.082</v>
      </c>
    </row>
    <row r="39" customFormat="false" ht="12.8" hidden="false" customHeight="false" outlineLevel="0" collapsed="false">
      <c r="A39" s="1" t="n">
        <v>7</v>
      </c>
      <c r="B39" s="4" t="s">
        <v>18</v>
      </c>
      <c r="C39" s="4" t="str">
        <f aca="false">IF(LEFT(E39,2)="S5","Spritz","Standard")</f>
        <v>Standard</v>
      </c>
      <c r="D39" s="4" t="n">
        <v>1</v>
      </c>
      <c r="E39" s="5" t="s">
        <v>21</v>
      </c>
      <c r="F39" s="1" t="s">
        <v>20</v>
      </c>
      <c r="G39" s="1" t="n">
        <v>62.41</v>
      </c>
      <c r="H39" s="1" t="n">
        <v>54.2</v>
      </c>
      <c r="I39" s="1" t="n">
        <v>25.02</v>
      </c>
      <c r="J39" s="1" t="n">
        <v>1.117</v>
      </c>
      <c r="K39" s="1" t="n">
        <v>0.4618</v>
      </c>
      <c r="L39" s="1" t="n">
        <v>2.418</v>
      </c>
      <c r="M39" s="1" t="n">
        <v>-0.05267</v>
      </c>
      <c r="N39" s="1" t="n">
        <v>0.5</v>
      </c>
      <c r="O39" s="6" t="n">
        <v>1.871E-005</v>
      </c>
      <c r="P39" s="1" t="n">
        <v>0.01539</v>
      </c>
      <c r="Q39" s="1" t="n">
        <v>0.9697</v>
      </c>
      <c r="R39" s="1" t="n">
        <v>3.192</v>
      </c>
    </row>
    <row r="40" customFormat="false" ht="12.8" hidden="false" customHeight="false" outlineLevel="0" collapsed="false">
      <c r="A40" s="1" t="n">
        <v>8</v>
      </c>
      <c r="B40" s="4" t="s">
        <v>18</v>
      </c>
      <c r="C40" s="4" t="str">
        <f aca="false">IF(LEFT(E40,2)="S5","Spritz","Standard")</f>
        <v>Standard</v>
      </c>
      <c r="D40" s="4" t="n">
        <v>1</v>
      </c>
      <c r="E40" s="5" t="s">
        <v>21</v>
      </c>
      <c r="F40" s="1" t="s">
        <v>20</v>
      </c>
      <c r="G40" s="1" t="n">
        <v>70.15</v>
      </c>
      <c r="H40" s="1" t="n">
        <v>61.94</v>
      </c>
      <c r="I40" s="1" t="n">
        <v>25.01</v>
      </c>
      <c r="J40" s="1" t="n">
        <v>1.039</v>
      </c>
      <c r="K40" s="1" t="n">
        <v>0.577</v>
      </c>
      <c r="L40" s="1" t="n">
        <v>1.801</v>
      </c>
      <c r="M40" s="1" t="n">
        <v>-0.05432</v>
      </c>
      <c r="N40" s="1" t="n">
        <v>0.5</v>
      </c>
      <c r="O40" s="6" t="n">
        <v>1.741E-005</v>
      </c>
      <c r="P40" s="1" t="n">
        <v>0.01923</v>
      </c>
      <c r="Q40" s="1" t="n">
        <v>0.9982</v>
      </c>
      <c r="R40" s="1" t="n">
        <v>3.329</v>
      </c>
    </row>
    <row r="41" customFormat="false" ht="12.8" hidden="false" customHeight="false" outlineLevel="0" collapsed="false">
      <c r="A41" s="1" t="n">
        <v>9</v>
      </c>
      <c r="B41" s="4" t="s">
        <v>18</v>
      </c>
      <c r="C41" s="4" t="str">
        <f aca="false">IF(LEFT(E41,2)="S5","Spritz","Standard")</f>
        <v>Standard</v>
      </c>
      <c r="D41" s="4" t="n">
        <v>1</v>
      </c>
      <c r="E41" s="5" t="s">
        <v>21</v>
      </c>
      <c r="F41" s="1" t="s">
        <v>20</v>
      </c>
      <c r="G41" s="1" t="n">
        <v>77.89</v>
      </c>
      <c r="H41" s="1" t="n">
        <v>69.68</v>
      </c>
      <c r="I41" s="1" t="n">
        <v>25.01</v>
      </c>
      <c r="J41" s="1" t="n">
        <v>1.148</v>
      </c>
      <c r="K41" s="1" t="n">
        <v>0.721</v>
      </c>
      <c r="L41" s="1" t="n">
        <v>1.592</v>
      </c>
      <c r="M41" s="1" t="n">
        <v>-0.05292</v>
      </c>
      <c r="N41" s="1" t="n">
        <v>0.5</v>
      </c>
      <c r="O41" s="6" t="n">
        <v>1.923E-005</v>
      </c>
      <c r="P41" s="1" t="n">
        <v>0.02403</v>
      </c>
      <c r="Q41" s="1" t="n">
        <v>0.872</v>
      </c>
      <c r="R41" s="1" t="n">
        <v>3.501</v>
      </c>
    </row>
    <row r="42" customFormat="false" ht="12.8" hidden="false" customHeight="false" outlineLevel="0" collapsed="false">
      <c r="A42" s="1" t="n">
        <v>10</v>
      </c>
      <c r="B42" s="4" t="s">
        <v>18</v>
      </c>
      <c r="C42" s="4" t="str">
        <f aca="false">IF(LEFT(E42,2)="S5","Spritz","Standard")</f>
        <v>Standard</v>
      </c>
      <c r="D42" s="4" t="n">
        <v>1</v>
      </c>
      <c r="E42" s="5" t="s">
        <v>21</v>
      </c>
      <c r="F42" s="1" t="s">
        <v>20</v>
      </c>
      <c r="G42" s="1" t="n">
        <v>85.63</v>
      </c>
      <c r="H42" s="1" t="n">
        <v>77.42</v>
      </c>
      <c r="I42" s="1" t="n">
        <v>25.01</v>
      </c>
      <c r="J42" s="1" t="n">
        <v>1.283</v>
      </c>
      <c r="K42" s="1" t="n">
        <v>0.9011</v>
      </c>
      <c r="L42" s="1" t="n">
        <v>1.423</v>
      </c>
      <c r="M42" s="1" t="n">
        <v>-0.05439</v>
      </c>
      <c r="N42" s="1" t="n">
        <v>0.5</v>
      </c>
      <c r="O42" s="6" t="n">
        <v>2.149E-005</v>
      </c>
      <c r="P42" s="1" t="n">
        <v>0.03004</v>
      </c>
      <c r="Q42" s="1" t="n">
        <v>1.078</v>
      </c>
      <c r="R42" s="1" t="n">
        <v>3.715</v>
      </c>
    </row>
    <row r="43" customFormat="false" ht="12.8" hidden="false" customHeight="false" outlineLevel="0" collapsed="false">
      <c r="A43" s="1" t="n">
        <v>11</v>
      </c>
      <c r="B43" s="4" t="s">
        <v>18</v>
      </c>
      <c r="C43" s="4" t="str">
        <f aca="false">IF(LEFT(E43,2)="S5","Spritz","Standard")</f>
        <v>Standard</v>
      </c>
      <c r="D43" s="4" t="n">
        <v>1</v>
      </c>
      <c r="E43" s="5" t="s">
        <v>21</v>
      </c>
      <c r="F43" s="1" t="s">
        <v>20</v>
      </c>
      <c r="G43" s="1" t="n">
        <v>93.37</v>
      </c>
      <c r="H43" s="1" t="n">
        <v>85.16</v>
      </c>
      <c r="I43" s="1" t="n">
        <v>25</v>
      </c>
      <c r="J43" s="1" t="n">
        <v>1.146</v>
      </c>
      <c r="K43" s="1" t="n">
        <v>1.126</v>
      </c>
      <c r="L43" s="1" t="n">
        <v>1.018</v>
      </c>
      <c r="M43" s="1" t="n">
        <v>-0.05525</v>
      </c>
      <c r="N43" s="1" t="n">
        <v>0.5</v>
      </c>
      <c r="O43" s="6" t="n">
        <v>1.92E-005</v>
      </c>
      <c r="P43" s="1" t="n">
        <v>0.03753</v>
      </c>
      <c r="Q43" s="1" t="n">
        <v>1.24</v>
      </c>
      <c r="R43" s="1" t="n">
        <v>3.983</v>
      </c>
    </row>
    <row r="44" customFormat="false" ht="12.8" hidden="false" customHeight="false" outlineLevel="0" collapsed="false">
      <c r="A44" s="1" t="n">
        <v>12</v>
      </c>
      <c r="B44" s="4" t="s">
        <v>18</v>
      </c>
      <c r="C44" s="4" t="str">
        <f aca="false">IF(LEFT(E44,2)="S5","Spritz","Standard")</f>
        <v>Standard</v>
      </c>
      <c r="D44" s="4" t="n">
        <v>1</v>
      </c>
      <c r="E44" s="5" t="s">
        <v>21</v>
      </c>
      <c r="F44" s="1" t="s">
        <v>20</v>
      </c>
      <c r="G44" s="1" t="n">
        <v>101.1</v>
      </c>
      <c r="H44" s="1" t="n">
        <v>92.91</v>
      </c>
      <c r="I44" s="1" t="n">
        <v>25</v>
      </c>
      <c r="J44" s="1" t="n">
        <v>1.143</v>
      </c>
      <c r="K44" s="1" t="n">
        <v>1.407</v>
      </c>
      <c r="L44" s="1" t="n">
        <v>0.8122</v>
      </c>
      <c r="M44" s="1" t="n">
        <v>-0.05521</v>
      </c>
      <c r="N44" s="1" t="n">
        <v>0.5</v>
      </c>
      <c r="O44" s="6" t="n">
        <v>1.915E-005</v>
      </c>
      <c r="P44" s="1" t="n">
        <v>0.04691</v>
      </c>
      <c r="Q44" s="1" t="n">
        <v>1.041</v>
      </c>
      <c r="R44" s="1" t="n">
        <v>4.318</v>
      </c>
    </row>
    <row r="45" customFormat="false" ht="12.8" hidden="false" customHeight="false" outlineLevel="0" collapsed="false">
      <c r="A45" s="1" t="n">
        <v>13</v>
      </c>
      <c r="B45" s="4" t="s">
        <v>18</v>
      </c>
      <c r="C45" s="4" t="str">
        <f aca="false">IF(LEFT(E45,2)="S5","Spritz","Standard")</f>
        <v>Standard</v>
      </c>
      <c r="D45" s="4" t="n">
        <v>1</v>
      </c>
      <c r="E45" s="5" t="s">
        <v>21</v>
      </c>
      <c r="F45" s="1" t="s">
        <v>20</v>
      </c>
      <c r="G45" s="1" t="n">
        <v>108.9</v>
      </c>
      <c r="H45" s="1" t="n">
        <v>100.6</v>
      </c>
      <c r="I45" s="1" t="n">
        <v>25</v>
      </c>
      <c r="J45" s="1" t="n">
        <v>1.092</v>
      </c>
      <c r="K45" s="1" t="n">
        <v>1.758</v>
      </c>
      <c r="L45" s="1" t="n">
        <v>0.6211</v>
      </c>
      <c r="M45" s="1" t="n">
        <v>-0.05566</v>
      </c>
      <c r="N45" s="1" t="n">
        <v>0.5</v>
      </c>
      <c r="O45" s="6" t="n">
        <v>1.83E-005</v>
      </c>
      <c r="P45" s="1" t="n">
        <v>0.05861</v>
      </c>
      <c r="Q45" s="1" t="n">
        <v>1.041</v>
      </c>
      <c r="R45" s="1" t="n">
        <v>4.737</v>
      </c>
    </row>
    <row r="46" customFormat="false" ht="12.8" hidden="false" customHeight="false" outlineLevel="0" collapsed="false">
      <c r="A46" s="1" t="n">
        <v>14</v>
      </c>
      <c r="B46" s="4" t="s">
        <v>18</v>
      </c>
      <c r="C46" s="4" t="str">
        <f aca="false">IF(LEFT(E46,2)="S5","Spritz","Standard")</f>
        <v>Standard</v>
      </c>
      <c r="D46" s="4" t="n">
        <v>1</v>
      </c>
      <c r="E46" s="5" t="s">
        <v>21</v>
      </c>
      <c r="F46" s="1" t="s">
        <v>20</v>
      </c>
      <c r="G46" s="1" t="n">
        <v>116.6</v>
      </c>
      <c r="H46" s="1" t="n">
        <v>108.4</v>
      </c>
      <c r="I46" s="1" t="n">
        <v>25</v>
      </c>
      <c r="J46" s="1" t="n">
        <v>1.482</v>
      </c>
      <c r="K46" s="1" t="n">
        <v>2.197</v>
      </c>
      <c r="L46" s="1" t="n">
        <v>0.6745</v>
      </c>
      <c r="M46" s="1" t="n">
        <v>-0.05482</v>
      </c>
      <c r="N46" s="1" t="n">
        <v>0.5</v>
      </c>
      <c r="O46" s="6" t="n">
        <v>2.483E-005</v>
      </c>
      <c r="P46" s="1" t="n">
        <v>0.07324</v>
      </c>
      <c r="Q46" s="1" t="n">
        <v>1.193</v>
      </c>
      <c r="R46" s="1" t="n">
        <v>5.26</v>
      </c>
    </row>
    <row r="47" customFormat="false" ht="12.8" hidden="false" customHeight="false" outlineLevel="0" collapsed="false">
      <c r="A47" s="1" t="n">
        <v>15</v>
      </c>
      <c r="B47" s="4" t="s">
        <v>18</v>
      </c>
      <c r="C47" s="4" t="str">
        <f aca="false">IF(LEFT(E47,2)="S5","Spritz","Standard")</f>
        <v>Standard</v>
      </c>
      <c r="D47" s="4" t="n">
        <v>1</v>
      </c>
      <c r="E47" s="5" t="s">
        <v>21</v>
      </c>
      <c r="F47" s="1" t="s">
        <v>20</v>
      </c>
      <c r="G47" s="1" t="n">
        <v>124.3</v>
      </c>
      <c r="H47" s="1" t="n">
        <v>116.1</v>
      </c>
      <c r="I47" s="1" t="n">
        <v>25</v>
      </c>
      <c r="J47" s="1" t="n">
        <v>1.268</v>
      </c>
      <c r="K47" s="1" t="n">
        <v>2.746</v>
      </c>
      <c r="L47" s="1" t="n">
        <v>0.4618</v>
      </c>
      <c r="M47" s="1" t="n">
        <v>-0.05604</v>
      </c>
      <c r="N47" s="1" t="n">
        <v>0.5</v>
      </c>
      <c r="O47" s="6" t="n">
        <v>2.124E-005</v>
      </c>
      <c r="P47" s="1" t="n">
        <v>0.09153</v>
      </c>
      <c r="Q47" s="1" t="n">
        <v>1.364</v>
      </c>
      <c r="R47" s="1" t="n">
        <v>5.914</v>
      </c>
    </row>
    <row r="48" customFormat="false" ht="12.8" hidden="false" customHeight="false" outlineLevel="0" collapsed="false">
      <c r="A48" s="1" t="n">
        <v>16</v>
      </c>
      <c r="B48" s="4" t="s">
        <v>18</v>
      </c>
      <c r="C48" s="4" t="str">
        <f aca="false">IF(LEFT(E48,2)="S5","Spritz","Standard")</f>
        <v>Standard</v>
      </c>
      <c r="D48" s="4" t="n">
        <v>1</v>
      </c>
      <c r="E48" s="5" t="s">
        <v>21</v>
      </c>
      <c r="F48" s="1" t="s">
        <v>20</v>
      </c>
      <c r="G48" s="1" t="n">
        <v>132.1</v>
      </c>
      <c r="H48" s="1" t="n">
        <v>123.9</v>
      </c>
      <c r="I48" s="1" t="n">
        <v>25</v>
      </c>
      <c r="J48" s="1" t="n">
        <v>1.149</v>
      </c>
      <c r="K48" s="1" t="n">
        <v>3.431</v>
      </c>
      <c r="L48" s="1" t="n">
        <v>0.3348</v>
      </c>
      <c r="M48" s="1" t="n">
        <v>-0.0558</v>
      </c>
      <c r="N48" s="1" t="n">
        <v>0.5</v>
      </c>
      <c r="O48" s="6" t="n">
        <v>1.925E-005</v>
      </c>
      <c r="P48" s="1" t="n">
        <v>0.1144</v>
      </c>
      <c r="Q48" s="1" t="n">
        <v>0.9253</v>
      </c>
      <c r="R48" s="1" t="n">
        <v>0.4474</v>
      </c>
    </row>
    <row r="49" customFormat="false" ht="12.8" hidden="false" customHeight="false" outlineLevel="0" collapsed="false">
      <c r="A49" s="1" t="n">
        <v>17</v>
      </c>
      <c r="B49" s="4" t="s">
        <v>18</v>
      </c>
      <c r="C49" s="4" t="str">
        <f aca="false">IF(LEFT(E49,2)="S5","Spritz","Standard")</f>
        <v>Standard</v>
      </c>
      <c r="D49" s="4" t="n">
        <v>1</v>
      </c>
      <c r="E49" s="5" t="s">
        <v>21</v>
      </c>
      <c r="F49" s="1" t="s">
        <v>20</v>
      </c>
      <c r="G49" s="1" t="n">
        <v>139.8</v>
      </c>
      <c r="H49" s="1" t="n">
        <v>131.6</v>
      </c>
      <c r="I49" s="1" t="n">
        <v>25.01</v>
      </c>
      <c r="J49" s="1" t="n">
        <v>1.262</v>
      </c>
      <c r="K49" s="1" t="n">
        <v>4.288</v>
      </c>
      <c r="L49" s="1" t="n">
        <v>0.2943</v>
      </c>
      <c r="M49" s="1" t="n">
        <v>-0.05682</v>
      </c>
      <c r="N49" s="1" t="n">
        <v>0.5</v>
      </c>
      <c r="O49" s="6" t="n">
        <v>2.114E-005</v>
      </c>
      <c r="P49" s="1" t="n">
        <v>0.1429</v>
      </c>
      <c r="Q49" s="1" t="n">
        <v>0.7999</v>
      </c>
      <c r="R49" s="1" t="n">
        <v>1.469</v>
      </c>
    </row>
    <row r="50" customFormat="false" ht="12.8" hidden="false" customHeight="false" outlineLevel="0" collapsed="false">
      <c r="A50" s="1" t="n">
        <v>18</v>
      </c>
      <c r="B50" s="4" t="s">
        <v>18</v>
      </c>
      <c r="C50" s="4" t="str">
        <f aca="false">IF(LEFT(E50,2)="S5","Spritz","Standard")</f>
        <v>Standard</v>
      </c>
      <c r="D50" s="4" t="n">
        <v>1</v>
      </c>
      <c r="E50" s="5" t="s">
        <v>21</v>
      </c>
      <c r="F50" s="1" t="s">
        <v>20</v>
      </c>
      <c r="G50" s="1" t="n">
        <v>147.6</v>
      </c>
      <c r="H50" s="1" t="n">
        <v>139.4</v>
      </c>
      <c r="I50" s="1" t="n">
        <v>25.01</v>
      </c>
      <c r="J50" s="1" t="n">
        <v>1.206</v>
      </c>
      <c r="K50" s="1" t="n">
        <v>5.358</v>
      </c>
      <c r="L50" s="1" t="n">
        <v>0.225</v>
      </c>
      <c r="M50" s="1" t="n">
        <v>-0.05812</v>
      </c>
      <c r="N50" s="1" t="n">
        <v>0.5</v>
      </c>
      <c r="O50" s="6" t="n">
        <v>2.02E-005</v>
      </c>
      <c r="P50" s="1" t="n">
        <v>0.1786</v>
      </c>
      <c r="Q50" s="1" t="n">
        <v>0.6097</v>
      </c>
      <c r="R50" s="1" t="n">
        <v>2.744</v>
      </c>
    </row>
    <row r="51" customFormat="false" ht="12.8" hidden="false" customHeight="false" outlineLevel="0" collapsed="false">
      <c r="A51" s="1" t="n">
        <v>19</v>
      </c>
      <c r="B51" s="4" t="s">
        <v>18</v>
      </c>
      <c r="C51" s="4" t="str">
        <f aca="false">IF(LEFT(E51,2)="S5","Spritz","Standard")</f>
        <v>Standard</v>
      </c>
      <c r="D51" s="4" t="n">
        <v>1</v>
      </c>
      <c r="E51" s="5" t="s">
        <v>21</v>
      </c>
      <c r="F51" s="1" t="s">
        <v>20</v>
      </c>
      <c r="G51" s="1" t="n">
        <v>155.3</v>
      </c>
      <c r="H51" s="1" t="n">
        <v>147.1</v>
      </c>
      <c r="I51" s="1" t="n">
        <v>25.01</v>
      </c>
      <c r="J51" s="1" t="n">
        <v>1.451</v>
      </c>
      <c r="K51" s="1" t="n">
        <v>6.695</v>
      </c>
      <c r="L51" s="1" t="n">
        <v>0.2167</v>
      </c>
      <c r="M51" s="1" t="n">
        <v>-0.05853</v>
      </c>
      <c r="N51" s="1" t="n">
        <v>0.5</v>
      </c>
      <c r="O51" s="6" t="n">
        <v>2.43E-005</v>
      </c>
      <c r="P51" s="1" t="n">
        <v>0.2232</v>
      </c>
      <c r="Q51" s="1" t="n">
        <v>1.07</v>
      </c>
      <c r="R51" s="1" t="n">
        <v>4.338</v>
      </c>
    </row>
    <row r="52" customFormat="false" ht="12.8" hidden="false" customHeight="false" outlineLevel="0" collapsed="false">
      <c r="A52" s="1" t="n">
        <v>20</v>
      </c>
      <c r="B52" s="4" t="s">
        <v>18</v>
      </c>
      <c r="C52" s="4" t="str">
        <f aca="false">IF(LEFT(E52,2)="S5","Spritz","Standard")</f>
        <v>Standard</v>
      </c>
      <c r="D52" s="4" t="n">
        <v>1</v>
      </c>
      <c r="E52" s="5" t="s">
        <v>21</v>
      </c>
      <c r="F52" s="1" t="s">
        <v>20</v>
      </c>
      <c r="G52" s="1" t="n">
        <v>163.1</v>
      </c>
      <c r="H52" s="1" t="n">
        <v>154.8</v>
      </c>
      <c r="I52" s="1" t="n">
        <v>25.01</v>
      </c>
      <c r="J52" s="1" t="n">
        <v>1.303</v>
      </c>
      <c r="K52" s="1" t="n">
        <v>8.367</v>
      </c>
      <c r="L52" s="1" t="n">
        <v>0.1557</v>
      </c>
      <c r="M52" s="1" t="n">
        <v>-0.05979</v>
      </c>
      <c r="N52" s="1" t="n">
        <v>0.5</v>
      </c>
      <c r="O52" s="6" t="n">
        <v>2.183E-005</v>
      </c>
      <c r="P52" s="1" t="n">
        <v>0.2789</v>
      </c>
      <c r="Q52" s="1" t="n">
        <v>0.9365</v>
      </c>
      <c r="R52" s="1" t="n">
        <v>0.04715</v>
      </c>
    </row>
    <row r="53" customFormat="false" ht="12.8" hidden="false" customHeight="false" outlineLevel="0" collapsed="false">
      <c r="A53" s="1" t="n">
        <v>21</v>
      </c>
      <c r="B53" s="4" t="s">
        <v>18</v>
      </c>
      <c r="C53" s="4" t="str">
        <f aca="false">IF(LEFT(E53,2)="S5","Spritz","Standard")</f>
        <v>Standard</v>
      </c>
      <c r="D53" s="4" t="n">
        <v>1</v>
      </c>
      <c r="E53" s="5" t="s">
        <v>21</v>
      </c>
      <c r="F53" s="1" t="s">
        <v>20</v>
      </c>
      <c r="G53" s="1" t="n">
        <v>170.8</v>
      </c>
      <c r="H53" s="1" t="n">
        <v>162.6</v>
      </c>
      <c r="I53" s="1" t="n">
        <v>25.01</v>
      </c>
      <c r="J53" s="1" t="n">
        <v>1.158</v>
      </c>
      <c r="K53" s="1" t="n">
        <v>10.46</v>
      </c>
      <c r="L53" s="1" t="n">
        <v>0.1108</v>
      </c>
      <c r="M53" s="1" t="n">
        <v>-0.06079</v>
      </c>
      <c r="N53" s="1" t="n">
        <v>0.5</v>
      </c>
      <c r="O53" s="6" t="n">
        <v>1.94E-005</v>
      </c>
      <c r="P53" s="1" t="n">
        <v>0.3485</v>
      </c>
      <c r="Q53" s="1" t="n">
        <v>1.301</v>
      </c>
      <c r="R53" s="1" t="n">
        <v>2.536</v>
      </c>
    </row>
    <row r="54" customFormat="false" ht="12.8" hidden="false" customHeight="false" outlineLevel="0" collapsed="false">
      <c r="A54" s="1" t="n">
        <v>22</v>
      </c>
      <c r="B54" s="4" t="s">
        <v>18</v>
      </c>
      <c r="C54" s="4" t="str">
        <f aca="false">IF(LEFT(E54,2)="S5","Spritz","Standard")</f>
        <v>Standard</v>
      </c>
      <c r="D54" s="4" t="n">
        <v>1</v>
      </c>
      <c r="E54" s="5" t="s">
        <v>21</v>
      </c>
      <c r="F54" s="1" t="s">
        <v>20</v>
      </c>
      <c r="G54" s="1" t="n">
        <v>178.5</v>
      </c>
      <c r="H54" s="1" t="n">
        <v>170.3</v>
      </c>
      <c r="I54" s="1" t="n">
        <v>25.02</v>
      </c>
      <c r="J54" s="1" t="n">
        <v>1.09</v>
      </c>
      <c r="K54" s="1" t="n">
        <v>13.07</v>
      </c>
      <c r="L54" s="1" t="n">
        <v>0.08342</v>
      </c>
      <c r="M54" s="1" t="n">
        <v>-0.06184</v>
      </c>
      <c r="N54" s="1" t="n">
        <v>0.5</v>
      </c>
      <c r="O54" s="6" t="n">
        <v>1.826E-005</v>
      </c>
      <c r="P54" s="1" t="n">
        <v>0.4356</v>
      </c>
      <c r="Q54" s="1" t="n">
        <v>1.085</v>
      </c>
      <c r="R54" s="1" t="n">
        <v>5.648</v>
      </c>
    </row>
    <row r="55" customFormat="false" ht="12.8" hidden="false" customHeight="false" outlineLevel="0" collapsed="false">
      <c r="A55" s="1" t="n">
        <v>23</v>
      </c>
      <c r="B55" s="4" t="s">
        <v>18</v>
      </c>
      <c r="C55" s="4" t="str">
        <f aca="false">IF(LEFT(E55,2)="S5","Spritz","Standard")</f>
        <v>Standard</v>
      </c>
      <c r="D55" s="4" t="n">
        <v>1</v>
      </c>
      <c r="E55" s="5" t="s">
        <v>21</v>
      </c>
      <c r="F55" s="1" t="s">
        <v>20</v>
      </c>
      <c r="G55" s="1" t="n">
        <v>186.3</v>
      </c>
      <c r="H55" s="1" t="n">
        <v>178.1</v>
      </c>
      <c r="I55" s="1" t="n">
        <v>25.02</v>
      </c>
      <c r="J55" s="1" t="n">
        <v>1.081</v>
      </c>
      <c r="K55" s="1" t="n">
        <v>16.33</v>
      </c>
      <c r="L55" s="1" t="n">
        <v>0.06622</v>
      </c>
      <c r="M55" s="1" t="n">
        <v>-0.06206</v>
      </c>
      <c r="N55" s="1" t="n">
        <v>0.5</v>
      </c>
      <c r="O55" s="6" t="n">
        <v>1.811E-005</v>
      </c>
      <c r="P55" s="1" t="n">
        <v>0.5443</v>
      </c>
      <c r="Q55" s="1" t="n">
        <v>0.8929</v>
      </c>
      <c r="R55" s="1" t="n">
        <v>3.251</v>
      </c>
    </row>
    <row r="56" customFormat="false" ht="12.8" hidden="false" customHeight="false" outlineLevel="0" collapsed="false">
      <c r="A56" s="1" t="n">
        <v>24</v>
      </c>
      <c r="B56" s="4" t="s">
        <v>18</v>
      </c>
      <c r="C56" s="4" t="str">
        <f aca="false">IF(LEFT(E56,2)="S5","Spritz","Standard")</f>
        <v>Standard</v>
      </c>
      <c r="D56" s="4" t="n">
        <v>1</v>
      </c>
      <c r="E56" s="5" t="s">
        <v>21</v>
      </c>
      <c r="F56" s="1" t="s">
        <v>20</v>
      </c>
      <c r="G56" s="1" t="n">
        <v>194</v>
      </c>
      <c r="H56" s="1" t="n">
        <v>185.8</v>
      </c>
      <c r="I56" s="1" t="n">
        <v>25.02</v>
      </c>
      <c r="J56" s="1" t="n">
        <v>1.118</v>
      </c>
      <c r="K56" s="1" t="n">
        <v>20.4</v>
      </c>
      <c r="L56" s="1" t="n">
        <v>0.05481</v>
      </c>
      <c r="M56" s="1" t="n">
        <v>-0.0616</v>
      </c>
      <c r="N56" s="1" t="n">
        <v>0.5</v>
      </c>
      <c r="O56" s="6" t="n">
        <v>1.873E-005</v>
      </c>
      <c r="P56" s="1" t="n">
        <v>0.6801</v>
      </c>
      <c r="Q56" s="1" t="n">
        <v>1.016</v>
      </c>
      <c r="R56" s="1" t="n">
        <v>1.824</v>
      </c>
    </row>
    <row r="57" customFormat="false" ht="12.8" hidden="false" customHeight="false" outlineLevel="0" collapsed="false">
      <c r="A57" s="1" t="n">
        <v>25</v>
      </c>
      <c r="B57" s="4" t="s">
        <v>18</v>
      </c>
      <c r="C57" s="4" t="str">
        <f aca="false">IF(LEFT(E57,2)="S5","Spritz","Standard")</f>
        <v>Standard</v>
      </c>
      <c r="D57" s="4" t="n">
        <v>1</v>
      </c>
      <c r="E57" s="5" t="s">
        <v>21</v>
      </c>
      <c r="F57" s="1" t="s">
        <v>20</v>
      </c>
      <c r="G57" s="1" t="n">
        <v>201.8</v>
      </c>
      <c r="H57" s="1" t="n">
        <v>193.6</v>
      </c>
      <c r="I57" s="1" t="n">
        <v>25.03</v>
      </c>
      <c r="J57" s="1" t="n">
        <v>1.053</v>
      </c>
      <c r="K57" s="1" t="n">
        <v>25.5</v>
      </c>
      <c r="L57" s="1" t="n">
        <v>0.04129</v>
      </c>
      <c r="M57" s="1" t="n">
        <v>-0.06204</v>
      </c>
      <c r="N57" s="1" t="n">
        <v>0.5</v>
      </c>
      <c r="O57" s="6" t="n">
        <v>1.764E-005</v>
      </c>
      <c r="P57" s="1" t="n">
        <v>0.8499</v>
      </c>
      <c r="Q57" s="1" t="n">
        <v>1.049</v>
      </c>
      <c r="R57" s="1" t="n">
        <v>1.613</v>
      </c>
    </row>
    <row r="58" customFormat="false" ht="12.8" hidden="false" customHeight="false" outlineLevel="0" collapsed="false">
      <c r="A58" s="1" t="n">
        <v>26</v>
      </c>
      <c r="B58" s="4" t="s">
        <v>18</v>
      </c>
      <c r="C58" s="4" t="str">
        <f aca="false">IF(LEFT(E58,2)="S5","Spritz","Standard")</f>
        <v>Standard</v>
      </c>
      <c r="D58" s="4" t="n">
        <v>1</v>
      </c>
      <c r="E58" s="5" t="s">
        <v>21</v>
      </c>
      <c r="F58" s="1" t="s">
        <v>20</v>
      </c>
      <c r="G58" s="1" t="n">
        <v>209.5</v>
      </c>
      <c r="H58" s="1" t="n">
        <v>201.3</v>
      </c>
      <c r="I58" s="1" t="n">
        <v>25.03</v>
      </c>
      <c r="J58" s="1" t="n">
        <v>0.9221</v>
      </c>
      <c r="K58" s="1" t="n">
        <v>31.86</v>
      </c>
      <c r="L58" s="1" t="n">
        <v>0.02894</v>
      </c>
      <c r="M58" s="1" t="n">
        <v>-0.06331</v>
      </c>
      <c r="N58" s="1" t="n">
        <v>0.5</v>
      </c>
      <c r="O58" s="6" t="n">
        <v>1.545E-005</v>
      </c>
      <c r="P58" s="1" t="n">
        <v>1.062</v>
      </c>
      <c r="Q58" s="1" t="n">
        <v>0.7957</v>
      </c>
      <c r="R58" s="1" t="n">
        <v>2.913</v>
      </c>
    </row>
    <row r="59" customFormat="false" ht="12.8" hidden="false" customHeight="false" outlineLevel="0" collapsed="false">
      <c r="A59" s="1" t="n">
        <v>27</v>
      </c>
      <c r="B59" s="4" t="s">
        <v>18</v>
      </c>
      <c r="C59" s="4" t="str">
        <f aca="false">IF(LEFT(E59,2)="S5","Spritz","Standard")</f>
        <v>Standard</v>
      </c>
      <c r="D59" s="4" t="n">
        <v>1</v>
      </c>
      <c r="E59" s="5" t="s">
        <v>21</v>
      </c>
      <c r="F59" s="1" t="s">
        <v>20</v>
      </c>
      <c r="G59" s="1" t="n">
        <v>217.2</v>
      </c>
      <c r="H59" s="1" t="n">
        <v>209</v>
      </c>
      <c r="I59" s="1" t="n">
        <v>25.03</v>
      </c>
      <c r="J59" s="1" t="n">
        <v>1.067</v>
      </c>
      <c r="K59" s="1" t="n">
        <v>39.81</v>
      </c>
      <c r="L59" s="1" t="n">
        <v>0.0268</v>
      </c>
      <c r="M59" s="1" t="n">
        <v>-0.06455</v>
      </c>
      <c r="N59" s="1" t="n">
        <v>0.5</v>
      </c>
      <c r="O59" s="6" t="n">
        <v>1.787E-005</v>
      </c>
      <c r="P59" s="1" t="n">
        <v>1.327</v>
      </c>
      <c r="Q59" s="1" t="n">
        <v>0.9326</v>
      </c>
      <c r="R59" s="1" t="n">
        <v>6.106</v>
      </c>
    </row>
    <row r="60" customFormat="false" ht="12.8" hidden="false" customHeight="false" outlineLevel="0" collapsed="false">
      <c r="A60" s="1" t="n">
        <v>28</v>
      </c>
      <c r="B60" s="4" t="s">
        <v>18</v>
      </c>
      <c r="C60" s="4" t="str">
        <f aca="false">IF(LEFT(E60,2)="S5","Spritz","Standard")</f>
        <v>Standard</v>
      </c>
      <c r="D60" s="4" t="n">
        <v>1</v>
      </c>
      <c r="E60" s="5" t="s">
        <v>21</v>
      </c>
      <c r="F60" s="1" t="s">
        <v>20</v>
      </c>
      <c r="G60" s="1" t="n">
        <v>225</v>
      </c>
      <c r="H60" s="1" t="n">
        <v>216.8</v>
      </c>
      <c r="I60" s="1" t="n">
        <v>25.02</v>
      </c>
      <c r="J60" s="1" t="n">
        <v>1.152</v>
      </c>
      <c r="K60" s="1" t="n">
        <v>49.75</v>
      </c>
      <c r="L60" s="1" t="n">
        <v>0.02316</v>
      </c>
      <c r="M60" s="1" t="n">
        <v>-0.06544</v>
      </c>
      <c r="N60" s="1" t="n">
        <v>0.5</v>
      </c>
      <c r="O60" s="6" t="n">
        <v>1.931E-005</v>
      </c>
      <c r="P60" s="1" t="n">
        <v>1.658</v>
      </c>
      <c r="Q60" s="1" t="n">
        <v>1.118</v>
      </c>
      <c r="R60" s="1" t="n">
        <v>5.389</v>
      </c>
    </row>
    <row r="61" customFormat="false" ht="12.8" hidden="false" customHeight="false" outlineLevel="0" collapsed="false">
      <c r="A61" s="1" t="n">
        <v>29</v>
      </c>
      <c r="B61" s="4" t="s">
        <v>18</v>
      </c>
      <c r="C61" s="4" t="str">
        <f aca="false">IF(LEFT(E61,2)="S5","Spritz","Standard")</f>
        <v>Standard</v>
      </c>
      <c r="D61" s="4" t="n">
        <v>1</v>
      </c>
      <c r="E61" s="5" t="s">
        <v>21</v>
      </c>
      <c r="F61" s="1" t="s">
        <v>20</v>
      </c>
      <c r="G61" s="1" t="n">
        <v>232.7</v>
      </c>
      <c r="H61" s="1" t="n">
        <v>224.5</v>
      </c>
      <c r="I61" s="1" t="n">
        <v>25.02</v>
      </c>
      <c r="J61" s="1" t="n">
        <v>1.248</v>
      </c>
      <c r="K61" s="1" t="n">
        <v>62.17</v>
      </c>
      <c r="L61" s="1" t="n">
        <v>0.02007</v>
      </c>
      <c r="M61" s="1" t="n">
        <v>-0.06808</v>
      </c>
      <c r="N61" s="1" t="n">
        <v>0.5</v>
      </c>
      <c r="O61" s="6" t="n">
        <v>2.09E-005</v>
      </c>
      <c r="P61" s="1" t="n">
        <v>2.072</v>
      </c>
      <c r="Q61" s="1" t="n">
        <v>0.9399</v>
      </c>
      <c r="R61" s="1" t="n">
        <v>1.337</v>
      </c>
    </row>
    <row r="62" customFormat="false" ht="12.8" hidden="false" customHeight="false" outlineLevel="0" collapsed="false">
      <c r="A62" s="1" t="n">
        <v>30</v>
      </c>
      <c r="B62" s="4" t="s">
        <v>18</v>
      </c>
      <c r="C62" s="4" t="str">
        <f aca="false">IF(LEFT(E62,2)="S5","Spritz","Standard")</f>
        <v>Standard</v>
      </c>
      <c r="D62" s="4" t="n">
        <v>1</v>
      </c>
      <c r="E62" s="5" t="s">
        <v>21</v>
      </c>
      <c r="F62" s="1" t="s">
        <v>20</v>
      </c>
      <c r="G62" s="1" t="n">
        <v>240.5</v>
      </c>
      <c r="H62" s="1" t="n">
        <v>232.3</v>
      </c>
      <c r="I62" s="1" t="n">
        <v>25.02</v>
      </c>
      <c r="J62" s="1" t="n">
        <v>1.247</v>
      </c>
      <c r="K62" s="1" t="n">
        <v>77.69</v>
      </c>
      <c r="L62" s="1" t="n">
        <v>0.01605</v>
      </c>
      <c r="M62" s="1" t="n">
        <v>-0.07228</v>
      </c>
      <c r="N62" s="1" t="n">
        <v>0.5</v>
      </c>
      <c r="O62" s="6" t="n">
        <v>2.089E-005</v>
      </c>
      <c r="P62" s="1" t="n">
        <v>2.59</v>
      </c>
      <c r="Q62" s="1" t="n">
        <v>0.7454</v>
      </c>
      <c r="R62" s="1" t="n">
        <v>0.9921</v>
      </c>
    </row>
    <row r="63" customFormat="false" ht="12.8" hidden="false" customHeight="false" outlineLevel="0" collapsed="false">
      <c r="A63" s="1" t="n">
        <v>31</v>
      </c>
      <c r="B63" s="4" t="s">
        <v>18</v>
      </c>
      <c r="C63" s="4" t="str">
        <f aca="false">IF(LEFT(E63,2)="S5","Spritz","Standard")</f>
        <v>Standard</v>
      </c>
      <c r="D63" s="4" t="n">
        <v>1</v>
      </c>
      <c r="E63" s="5" t="s">
        <v>21</v>
      </c>
      <c r="F63" s="1" t="s">
        <v>20</v>
      </c>
      <c r="G63" s="1" t="n">
        <v>248.2</v>
      </c>
      <c r="H63" s="1" t="n">
        <v>240</v>
      </c>
      <c r="I63" s="1" t="n">
        <v>25.02</v>
      </c>
      <c r="J63" s="1" t="n">
        <v>1.522</v>
      </c>
      <c r="K63" s="1" t="n">
        <v>97.08</v>
      </c>
      <c r="L63" s="1" t="n">
        <v>0.01568</v>
      </c>
      <c r="M63" s="1" t="n">
        <v>-0.07414</v>
      </c>
      <c r="N63" s="1" t="n">
        <v>0.5</v>
      </c>
      <c r="O63" s="6" t="n">
        <v>2.55E-005</v>
      </c>
      <c r="P63" s="1" t="n">
        <v>3.236</v>
      </c>
      <c r="Q63" s="1" t="n">
        <v>1.282</v>
      </c>
      <c r="R63" s="1" t="n">
        <v>5.251</v>
      </c>
    </row>
    <row r="64" customFormat="false" ht="12.8" hidden="false" customHeight="false" outlineLevel="0" collapsed="false">
      <c r="A64" s="1" t="n">
        <v>1</v>
      </c>
      <c r="B64" s="4" t="s">
        <v>18</v>
      </c>
      <c r="C64" s="4" t="str">
        <f aca="false">IF(LEFT(E64,2)="S5","Spritz","Standard")</f>
        <v>Standard</v>
      </c>
      <c r="D64" s="4" t="n">
        <v>2</v>
      </c>
      <c r="E64" s="5" t="s">
        <v>22</v>
      </c>
      <c r="F64" s="1" t="s">
        <v>20</v>
      </c>
      <c r="G64" s="1" t="n">
        <v>15.73</v>
      </c>
      <c r="H64" s="1" t="n">
        <v>7.74</v>
      </c>
      <c r="I64" s="1" t="n">
        <v>25.09</v>
      </c>
      <c r="J64" s="1" t="n">
        <v>0.6719</v>
      </c>
      <c r="K64" s="1" t="n">
        <v>0.1213</v>
      </c>
      <c r="L64" s="1" t="n">
        <v>5.541</v>
      </c>
      <c r="M64" s="1" t="n">
        <v>-0.1625</v>
      </c>
      <c r="N64" s="1" t="n">
        <v>0.5</v>
      </c>
      <c r="O64" s="6" t="n">
        <v>1.126E-005</v>
      </c>
      <c r="P64" s="6" t="n">
        <v>0.004042</v>
      </c>
      <c r="Q64" s="1" t="n">
        <v>0.9844</v>
      </c>
      <c r="R64" s="1" t="n">
        <v>5.515</v>
      </c>
    </row>
    <row r="65" customFormat="false" ht="12.8" hidden="false" customHeight="false" outlineLevel="0" collapsed="false">
      <c r="A65" s="1" t="n">
        <v>2</v>
      </c>
      <c r="B65" s="4" t="s">
        <v>18</v>
      </c>
      <c r="C65" s="4" t="str">
        <f aca="false">IF(LEFT(E65,2)="S5","Spritz","Standard")</f>
        <v>Standard</v>
      </c>
      <c r="D65" s="4" t="n">
        <v>2</v>
      </c>
      <c r="E65" s="5" t="s">
        <v>22</v>
      </c>
      <c r="F65" s="1" t="s">
        <v>20</v>
      </c>
      <c r="G65" s="1" t="n">
        <v>23.48</v>
      </c>
      <c r="H65" s="1" t="n">
        <v>15.49</v>
      </c>
      <c r="I65" s="1" t="n">
        <v>25.09</v>
      </c>
      <c r="J65" s="1" t="n">
        <v>0.7487</v>
      </c>
      <c r="K65" s="1" t="n">
        <v>0.1515</v>
      </c>
      <c r="L65" s="1" t="n">
        <v>4.941</v>
      </c>
      <c r="M65" s="1" t="n">
        <v>-0.1622</v>
      </c>
      <c r="N65" s="1" t="n">
        <v>0.5</v>
      </c>
      <c r="O65" s="6" t="n">
        <v>1.254E-005</v>
      </c>
      <c r="P65" s="6" t="n">
        <v>0.005052</v>
      </c>
      <c r="Q65" s="1" t="n">
        <v>1.013</v>
      </c>
      <c r="R65" s="1" t="n">
        <v>5.551</v>
      </c>
    </row>
    <row r="66" customFormat="false" ht="12.8" hidden="false" customHeight="false" outlineLevel="0" collapsed="false">
      <c r="A66" s="1" t="n">
        <v>3</v>
      </c>
      <c r="B66" s="4" t="s">
        <v>18</v>
      </c>
      <c r="C66" s="4" t="str">
        <f aca="false">IF(LEFT(E66,2)="S5","Spritz","Standard")</f>
        <v>Standard</v>
      </c>
      <c r="D66" s="4" t="n">
        <v>2</v>
      </c>
      <c r="E66" s="5" t="s">
        <v>22</v>
      </c>
      <c r="F66" s="1" t="s">
        <v>20</v>
      </c>
      <c r="G66" s="1" t="n">
        <v>31.22</v>
      </c>
      <c r="H66" s="1" t="n">
        <v>23.23</v>
      </c>
      <c r="I66" s="1" t="n">
        <v>25.08</v>
      </c>
      <c r="J66" s="1" t="n">
        <v>0.7963</v>
      </c>
      <c r="K66" s="1" t="n">
        <v>0.1894</v>
      </c>
      <c r="L66" s="1" t="n">
        <v>4.205</v>
      </c>
      <c r="M66" s="1" t="n">
        <v>-0.1628</v>
      </c>
      <c r="N66" s="1" t="n">
        <v>0.5</v>
      </c>
      <c r="O66" s="6" t="n">
        <v>1.334E-005</v>
      </c>
      <c r="P66" s="6" t="n">
        <v>0.006312</v>
      </c>
      <c r="Q66" s="1" t="n">
        <v>0.9908</v>
      </c>
      <c r="R66" s="1" t="n">
        <v>5.596</v>
      </c>
    </row>
    <row r="67" customFormat="false" ht="12.8" hidden="false" customHeight="false" outlineLevel="0" collapsed="false">
      <c r="A67" s="1" t="n">
        <v>4</v>
      </c>
      <c r="B67" s="4" t="s">
        <v>18</v>
      </c>
      <c r="C67" s="4" t="str">
        <f aca="false">IF(LEFT(E67,2)="S5","Spritz","Standard")</f>
        <v>Standard</v>
      </c>
      <c r="D67" s="4" t="n">
        <v>2</v>
      </c>
      <c r="E67" s="5" t="s">
        <v>22</v>
      </c>
      <c r="F67" s="1" t="s">
        <v>20</v>
      </c>
      <c r="G67" s="1" t="n">
        <v>38.96</v>
      </c>
      <c r="H67" s="1" t="n">
        <v>30.97</v>
      </c>
      <c r="I67" s="1" t="n">
        <v>25.07</v>
      </c>
      <c r="J67" s="1" t="n">
        <v>0.7285</v>
      </c>
      <c r="K67" s="1" t="n">
        <v>0.2366</v>
      </c>
      <c r="L67" s="1" t="n">
        <v>3.079</v>
      </c>
      <c r="M67" s="1" t="n">
        <v>-0.1624</v>
      </c>
      <c r="N67" s="1" t="n">
        <v>0.5</v>
      </c>
      <c r="O67" s="6" t="n">
        <v>1.22E-005</v>
      </c>
      <c r="P67" s="6" t="n">
        <v>0.007889</v>
      </c>
      <c r="Q67" s="1" t="n">
        <v>1.062</v>
      </c>
      <c r="R67" s="1" t="n">
        <v>5.653</v>
      </c>
    </row>
    <row r="68" customFormat="false" ht="12.8" hidden="false" customHeight="false" outlineLevel="0" collapsed="false">
      <c r="A68" s="1" t="n">
        <v>5</v>
      </c>
      <c r="B68" s="4" t="s">
        <v>18</v>
      </c>
      <c r="C68" s="4" t="str">
        <f aca="false">IF(LEFT(E68,2)="S5","Spritz","Standard")</f>
        <v>Standard</v>
      </c>
      <c r="D68" s="4" t="n">
        <v>2</v>
      </c>
      <c r="E68" s="5" t="s">
        <v>22</v>
      </c>
      <c r="F68" s="1" t="s">
        <v>20</v>
      </c>
      <c r="G68" s="1" t="n">
        <v>46.7</v>
      </c>
      <c r="H68" s="1" t="n">
        <v>38.71</v>
      </c>
      <c r="I68" s="1" t="n">
        <v>25.07</v>
      </c>
      <c r="J68" s="1" t="n">
        <v>0.5958</v>
      </c>
      <c r="K68" s="1" t="n">
        <v>0.2957</v>
      </c>
      <c r="L68" s="1" t="n">
        <v>2.015</v>
      </c>
      <c r="M68" s="1" t="n">
        <v>-0.1635</v>
      </c>
      <c r="N68" s="1" t="n">
        <v>0.5</v>
      </c>
      <c r="O68" s="6" t="n">
        <v>9.981E-006</v>
      </c>
      <c r="P68" s="6" t="n">
        <v>0.009857</v>
      </c>
      <c r="Q68" s="1" t="n">
        <v>0.9346</v>
      </c>
      <c r="R68" s="1" t="n">
        <v>5.723</v>
      </c>
    </row>
    <row r="69" customFormat="false" ht="12.8" hidden="false" customHeight="false" outlineLevel="0" collapsed="false">
      <c r="A69" s="1" t="n">
        <v>6</v>
      </c>
      <c r="B69" s="4" t="s">
        <v>18</v>
      </c>
      <c r="C69" s="4" t="str">
        <f aca="false">IF(LEFT(E69,2)="S5","Spritz","Standard")</f>
        <v>Standard</v>
      </c>
      <c r="D69" s="4" t="n">
        <v>2</v>
      </c>
      <c r="E69" s="5" t="s">
        <v>22</v>
      </c>
      <c r="F69" s="1" t="s">
        <v>20</v>
      </c>
      <c r="G69" s="1" t="n">
        <v>54.44</v>
      </c>
      <c r="H69" s="1" t="n">
        <v>46.45</v>
      </c>
      <c r="I69" s="1" t="n">
        <v>25.06</v>
      </c>
      <c r="J69" s="1" t="n">
        <v>0.644</v>
      </c>
      <c r="K69" s="1" t="n">
        <v>0.3695</v>
      </c>
      <c r="L69" s="1" t="n">
        <v>1.743</v>
      </c>
      <c r="M69" s="1" t="n">
        <v>-0.164</v>
      </c>
      <c r="N69" s="1" t="n">
        <v>0.5</v>
      </c>
      <c r="O69" s="6" t="n">
        <v>1.079E-005</v>
      </c>
      <c r="P69" s="1" t="n">
        <v>0.01232</v>
      </c>
      <c r="Q69" s="1" t="n">
        <v>1.019</v>
      </c>
      <c r="R69" s="1" t="n">
        <v>5.811</v>
      </c>
    </row>
    <row r="70" customFormat="false" ht="12.8" hidden="false" customHeight="false" outlineLevel="0" collapsed="false">
      <c r="A70" s="1" t="n">
        <v>7</v>
      </c>
      <c r="B70" s="4" t="s">
        <v>18</v>
      </c>
      <c r="C70" s="4" t="str">
        <f aca="false">IF(LEFT(E70,2)="S5","Spritz","Standard")</f>
        <v>Standard</v>
      </c>
      <c r="D70" s="4" t="n">
        <v>2</v>
      </c>
      <c r="E70" s="5" t="s">
        <v>22</v>
      </c>
      <c r="F70" s="1" t="s">
        <v>20</v>
      </c>
      <c r="G70" s="1" t="n">
        <v>62.19</v>
      </c>
      <c r="H70" s="1" t="n">
        <v>54.2</v>
      </c>
      <c r="I70" s="1" t="n">
        <v>25.05</v>
      </c>
      <c r="J70" s="1" t="n">
        <v>0.7882</v>
      </c>
      <c r="K70" s="1" t="n">
        <v>0.4618</v>
      </c>
      <c r="L70" s="1" t="n">
        <v>1.707</v>
      </c>
      <c r="M70" s="1" t="n">
        <v>-0.1628</v>
      </c>
      <c r="N70" s="1" t="n">
        <v>0.5</v>
      </c>
      <c r="O70" s="6" t="n">
        <v>1.32E-005</v>
      </c>
      <c r="P70" s="1" t="n">
        <v>0.01539</v>
      </c>
      <c r="Q70" s="1" t="n">
        <v>0.9209</v>
      </c>
      <c r="R70" s="1" t="n">
        <v>5.921</v>
      </c>
    </row>
    <row r="71" customFormat="false" ht="12.8" hidden="false" customHeight="false" outlineLevel="0" collapsed="false">
      <c r="A71" s="1" t="n">
        <v>8</v>
      </c>
      <c r="B71" s="4" t="s">
        <v>18</v>
      </c>
      <c r="C71" s="4" t="str">
        <f aca="false">IF(LEFT(E71,2)="S5","Spritz","Standard")</f>
        <v>Standard</v>
      </c>
      <c r="D71" s="4" t="n">
        <v>2</v>
      </c>
      <c r="E71" s="5" t="s">
        <v>22</v>
      </c>
      <c r="F71" s="1" t="s">
        <v>20</v>
      </c>
      <c r="G71" s="1" t="n">
        <v>69.93</v>
      </c>
      <c r="H71" s="1" t="n">
        <v>61.94</v>
      </c>
      <c r="I71" s="1" t="n">
        <v>25.05</v>
      </c>
      <c r="J71" s="1" t="n">
        <v>0.5283</v>
      </c>
      <c r="K71" s="1" t="n">
        <v>0.577</v>
      </c>
      <c r="L71" s="1" t="n">
        <v>0.9156</v>
      </c>
      <c r="M71" s="1" t="n">
        <v>-0.164</v>
      </c>
      <c r="N71" s="1" t="n">
        <v>0.5</v>
      </c>
      <c r="O71" s="6" t="n">
        <v>8.85E-006</v>
      </c>
      <c r="P71" s="1" t="n">
        <v>0.01923</v>
      </c>
      <c r="Q71" s="1" t="n">
        <v>0.7154</v>
      </c>
      <c r="R71" s="1" t="n">
        <v>6.058</v>
      </c>
    </row>
    <row r="72" customFormat="false" ht="12.8" hidden="false" customHeight="false" outlineLevel="0" collapsed="false">
      <c r="A72" s="1" t="n">
        <v>9</v>
      </c>
      <c r="B72" s="4" t="s">
        <v>18</v>
      </c>
      <c r="C72" s="4" t="str">
        <f aca="false">IF(LEFT(E72,2)="S5","Spritz","Standard")</f>
        <v>Standard</v>
      </c>
      <c r="D72" s="4" t="n">
        <v>2</v>
      </c>
      <c r="E72" s="5" t="s">
        <v>22</v>
      </c>
      <c r="F72" s="1" t="s">
        <v>20</v>
      </c>
      <c r="G72" s="1" t="n">
        <v>77.67</v>
      </c>
      <c r="H72" s="1" t="n">
        <v>69.68</v>
      </c>
      <c r="I72" s="1" t="n">
        <v>25.05</v>
      </c>
      <c r="J72" s="1" t="n">
        <v>0.4982</v>
      </c>
      <c r="K72" s="1" t="n">
        <v>0.721</v>
      </c>
      <c r="L72" s="1" t="n">
        <v>0.691</v>
      </c>
      <c r="M72" s="1" t="n">
        <v>-0.1642</v>
      </c>
      <c r="N72" s="1" t="n">
        <v>0.5</v>
      </c>
      <c r="O72" s="6" t="n">
        <v>8.346E-006</v>
      </c>
      <c r="P72" s="1" t="n">
        <v>0.02403</v>
      </c>
      <c r="Q72" s="1" t="n">
        <v>1.319</v>
      </c>
      <c r="R72" s="1" t="n">
        <v>6.23</v>
      </c>
    </row>
    <row r="73" customFormat="false" ht="12.8" hidden="false" customHeight="false" outlineLevel="0" collapsed="false">
      <c r="A73" s="1" t="n">
        <v>10</v>
      </c>
      <c r="B73" s="4" t="s">
        <v>18</v>
      </c>
      <c r="C73" s="4" t="str">
        <f aca="false">IF(LEFT(E73,2)="S5","Spritz","Standard")</f>
        <v>Standard</v>
      </c>
      <c r="D73" s="4" t="n">
        <v>2</v>
      </c>
      <c r="E73" s="5" t="s">
        <v>22</v>
      </c>
      <c r="F73" s="1" t="s">
        <v>20</v>
      </c>
      <c r="G73" s="1" t="n">
        <v>85.41</v>
      </c>
      <c r="H73" s="1" t="n">
        <v>77.42</v>
      </c>
      <c r="I73" s="1" t="n">
        <v>25.05</v>
      </c>
      <c r="J73" s="1" t="n">
        <v>0.4881</v>
      </c>
      <c r="K73" s="1" t="n">
        <v>0.901</v>
      </c>
      <c r="L73" s="1" t="n">
        <v>0.5417</v>
      </c>
      <c r="M73" s="1" t="n">
        <v>-0.1646</v>
      </c>
      <c r="N73" s="1" t="n">
        <v>0.5</v>
      </c>
      <c r="O73" s="6" t="n">
        <v>8.177E-006</v>
      </c>
      <c r="P73" s="1" t="n">
        <v>0.03004</v>
      </c>
      <c r="Q73" s="1" t="n">
        <v>1.488</v>
      </c>
      <c r="R73" s="1" t="n">
        <v>0.1612</v>
      </c>
    </row>
    <row r="74" customFormat="false" ht="12.8" hidden="false" customHeight="false" outlineLevel="0" collapsed="false">
      <c r="A74" s="1" t="n">
        <v>11</v>
      </c>
      <c r="B74" s="4" t="s">
        <v>18</v>
      </c>
      <c r="C74" s="4" t="str">
        <f aca="false">IF(LEFT(E74,2)="S5","Spritz","Standard")</f>
        <v>Standard</v>
      </c>
      <c r="D74" s="4" t="n">
        <v>2</v>
      </c>
      <c r="E74" s="5" t="s">
        <v>22</v>
      </c>
      <c r="F74" s="1" t="s">
        <v>20</v>
      </c>
      <c r="G74" s="1" t="n">
        <v>93.15</v>
      </c>
      <c r="H74" s="1" t="n">
        <v>85.16</v>
      </c>
      <c r="I74" s="1" t="n">
        <v>25.04</v>
      </c>
      <c r="J74" s="1" t="n">
        <v>0.5148</v>
      </c>
      <c r="K74" s="1" t="n">
        <v>1.126</v>
      </c>
      <c r="L74" s="1" t="n">
        <v>0.4573</v>
      </c>
      <c r="M74" s="1" t="n">
        <v>-0.1653</v>
      </c>
      <c r="N74" s="1" t="n">
        <v>0.5</v>
      </c>
      <c r="O74" s="6" t="n">
        <v>8.625E-006</v>
      </c>
      <c r="P74" s="1" t="n">
        <v>0.03753</v>
      </c>
      <c r="Q74" s="1" t="n">
        <v>0.7271</v>
      </c>
      <c r="R74" s="1" t="n">
        <v>0.4292</v>
      </c>
    </row>
    <row r="75" customFormat="false" ht="12.8" hidden="false" customHeight="false" outlineLevel="0" collapsed="false">
      <c r="A75" s="1" t="n">
        <v>12</v>
      </c>
      <c r="B75" s="4" t="s">
        <v>18</v>
      </c>
      <c r="C75" s="4" t="str">
        <f aca="false">IF(LEFT(E75,2)="S5","Spritz","Standard")</f>
        <v>Standard</v>
      </c>
      <c r="D75" s="4" t="n">
        <v>2</v>
      </c>
      <c r="E75" s="5" t="s">
        <v>22</v>
      </c>
      <c r="F75" s="1" t="s">
        <v>20</v>
      </c>
      <c r="G75" s="1" t="n">
        <v>100.9</v>
      </c>
      <c r="H75" s="1" t="n">
        <v>92.91</v>
      </c>
      <c r="I75" s="1" t="n">
        <v>25.03</v>
      </c>
      <c r="J75" s="1" t="n">
        <v>0.683</v>
      </c>
      <c r="K75" s="1" t="n">
        <v>1.407</v>
      </c>
      <c r="L75" s="1" t="n">
        <v>0.4853</v>
      </c>
      <c r="M75" s="1" t="n">
        <v>-0.1653</v>
      </c>
      <c r="N75" s="1" t="n">
        <v>0.5</v>
      </c>
      <c r="O75" s="6" t="n">
        <v>1.144E-005</v>
      </c>
      <c r="P75" s="1" t="n">
        <v>0.04691</v>
      </c>
      <c r="Q75" s="1" t="n">
        <v>1.114</v>
      </c>
      <c r="R75" s="1" t="n">
        <v>0.7643</v>
      </c>
    </row>
    <row r="76" customFormat="false" ht="12.8" hidden="false" customHeight="false" outlineLevel="0" collapsed="false">
      <c r="A76" s="1" t="n">
        <v>13</v>
      </c>
      <c r="B76" s="4" t="s">
        <v>18</v>
      </c>
      <c r="C76" s="4" t="str">
        <f aca="false">IF(LEFT(E76,2)="S5","Spritz","Standard")</f>
        <v>Standard</v>
      </c>
      <c r="D76" s="4" t="n">
        <v>2</v>
      </c>
      <c r="E76" s="5" t="s">
        <v>22</v>
      </c>
      <c r="F76" s="1" t="s">
        <v>20</v>
      </c>
      <c r="G76" s="1" t="n">
        <v>108.6</v>
      </c>
      <c r="H76" s="1" t="n">
        <v>100.6</v>
      </c>
      <c r="I76" s="1" t="n">
        <v>25.03</v>
      </c>
      <c r="J76" s="1" t="n">
        <v>0.6416</v>
      </c>
      <c r="K76" s="1" t="n">
        <v>1.758</v>
      </c>
      <c r="L76" s="1" t="n">
        <v>0.3649</v>
      </c>
      <c r="M76" s="1" t="n">
        <v>-0.1676</v>
      </c>
      <c r="N76" s="1" t="n">
        <v>0.5</v>
      </c>
      <c r="O76" s="6" t="n">
        <v>1.075E-005</v>
      </c>
      <c r="P76" s="1" t="n">
        <v>0.05861</v>
      </c>
      <c r="Q76" s="1" t="n">
        <v>1.073</v>
      </c>
      <c r="R76" s="1" t="n">
        <v>1.183</v>
      </c>
    </row>
    <row r="77" customFormat="false" ht="12.8" hidden="false" customHeight="false" outlineLevel="0" collapsed="false">
      <c r="A77" s="1" t="n">
        <v>14</v>
      </c>
      <c r="B77" s="4" t="s">
        <v>18</v>
      </c>
      <c r="C77" s="4" t="str">
        <f aca="false">IF(LEFT(E77,2)="S5","Spritz","Standard")</f>
        <v>Standard</v>
      </c>
      <c r="D77" s="4" t="n">
        <v>2</v>
      </c>
      <c r="E77" s="5" t="s">
        <v>22</v>
      </c>
      <c r="F77" s="1" t="s">
        <v>20</v>
      </c>
      <c r="G77" s="1" t="n">
        <v>116.4</v>
      </c>
      <c r="H77" s="1" t="n">
        <v>108.4</v>
      </c>
      <c r="I77" s="1" t="n">
        <v>25.03</v>
      </c>
      <c r="J77" s="1" t="n">
        <v>0.7244</v>
      </c>
      <c r="K77" s="1" t="n">
        <v>2.197</v>
      </c>
      <c r="L77" s="1" t="n">
        <v>0.3297</v>
      </c>
      <c r="M77" s="1" t="n">
        <v>-0.1684</v>
      </c>
      <c r="N77" s="1" t="n">
        <v>0.5</v>
      </c>
      <c r="O77" s="6" t="n">
        <v>1.214E-005</v>
      </c>
      <c r="P77" s="1" t="n">
        <v>0.07324</v>
      </c>
      <c r="Q77" s="1" t="n">
        <v>1.477</v>
      </c>
      <c r="R77" s="1" t="n">
        <v>1.706</v>
      </c>
    </row>
    <row r="78" customFormat="false" ht="12.8" hidden="false" customHeight="false" outlineLevel="0" collapsed="false">
      <c r="A78" s="1" t="n">
        <v>15</v>
      </c>
      <c r="B78" s="4" t="s">
        <v>18</v>
      </c>
      <c r="C78" s="4" t="str">
        <f aca="false">IF(LEFT(E78,2)="S5","Spritz","Standard")</f>
        <v>Standard</v>
      </c>
      <c r="D78" s="4" t="n">
        <v>2</v>
      </c>
      <c r="E78" s="5" t="s">
        <v>22</v>
      </c>
      <c r="F78" s="1" t="s">
        <v>20</v>
      </c>
      <c r="G78" s="1" t="n">
        <v>124.1</v>
      </c>
      <c r="H78" s="1" t="n">
        <v>116.1</v>
      </c>
      <c r="I78" s="1" t="n">
        <v>25.03</v>
      </c>
      <c r="J78" s="1" t="n">
        <v>0.9172</v>
      </c>
      <c r="K78" s="1" t="n">
        <v>2.746</v>
      </c>
      <c r="L78" s="1" t="n">
        <v>0.334</v>
      </c>
      <c r="M78" s="1" t="n">
        <v>-0.1684</v>
      </c>
      <c r="N78" s="1" t="n">
        <v>0.5</v>
      </c>
      <c r="O78" s="6" t="n">
        <v>1.537E-005</v>
      </c>
      <c r="P78" s="1" t="n">
        <v>0.09153</v>
      </c>
      <c r="Q78" s="1" t="n">
        <v>0.952</v>
      </c>
      <c r="R78" s="1" t="n">
        <v>2.36</v>
      </c>
    </row>
    <row r="79" customFormat="false" ht="12.8" hidden="false" customHeight="false" outlineLevel="0" collapsed="false">
      <c r="A79" s="1" t="n">
        <v>16</v>
      </c>
      <c r="B79" s="4" t="s">
        <v>18</v>
      </c>
      <c r="C79" s="4" t="str">
        <f aca="false">IF(LEFT(E79,2)="S5","Spritz","Standard")</f>
        <v>Standard</v>
      </c>
      <c r="D79" s="4" t="n">
        <v>2</v>
      </c>
      <c r="E79" s="5" t="s">
        <v>22</v>
      </c>
      <c r="F79" s="1" t="s">
        <v>20</v>
      </c>
      <c r="G79" s="1" t="n">
        <v>131.9</v>
      </c>
      <c r="H79" s="1" t="n">
        <v>123.9</v>
      </c>
      <c r="I79" s="1" t="n">
        <v>25.03</v>
      </c>
      <c r="J79" s="1" t="n">
        <v>0.9025</v>
      </c>
      <c r="K79" s="1" t="n">
        <v>3.431</v>
      </c>
      <c r="L79" s="1" t="n">
        <v>0.263</v>
      </c>
      <c r="M79" s="1" t="n">
        <v>-0.1693</v>
      </c>
      <c r="N79" s="1" t="n">
        <v>0.5</v>
      </c>
      <c r="O79" s="6" t="n">
        <v>1.512E-005</v>
      </c>
      <c r="P79" s="1" t="n">
        <v>0.1144</v>
      </c>
      <c r="Q79" s="1" t="n">
        <v>0.8283</v>
      </c>
      <c r="R79" s="1" t="n">
        <v>3.176</v>
      </c>
    </row>
    <row r="80" customFormat="false" ht="12.8" hidden="false" customHeight="false" outlineLevel="0" collapsed="false">
      <c r="A80" s="1" t="n">
        <v>17</v>
      </c>
      <c r="B80" s="4" t="s">
        <v>18</v>
      </c>
      <c r="C80" s="4" t="str">
        <f aca="false">IF(LEFT(E80,2)="S5","Spritz","Standard")</f>
        <v>Standard</v>
      </c>
      <c r="D80" s="4" t="n">
        <v>2</v>
      </c>
      <c r="E80" s="5" t="s">
        <v>22</v>
      </c>
      <c r="F80" s="1" t="s">
        <v>20</v>
      </c>
      <c r="G80" s="1" t="n">
        <v>139.6</v>
      </c>
      <c r="H80" s="1" t="n">
        <v>131.6</v>
      </c>
      <c r="I80" s="1" t="n">
        <v>25.02</v>
      </c>
      <c r="J80" s="1" t="n">
        <v>0.8299</v>
      </c>
      <c r="K80" s="1" t="n">
        <v>4.288</v>
      </c>
      <c r="L80" s="1" t="n">
        <v>0.1935</v>
      </c>
      <c r="M80" s="1" t="n">
        <v>-0.1688</v>
      </c>
      <c r="N80" s="1" t="n">
        <v>0.5</v>
      </c>
      <c r="O80" s="6" t="n">
        <v>1.39E-005</v>
      </c>
      <c r="P80" s="1" t="n">
        <v>0.1429</v>
      </c>
      <c r="Q80" s="1" t="n">
        <v>1.103</v>
      </c>
      <c r="R80" s="1" t="n">
        <v>4.198</v>
      </c>
    </row>
    <row r="81" customFormat="false" ht="12.8" hidden="false" customHeight="false" outlineLevel="0" collapsed="false">
      <c r="A81" s="1" t="n">
        <v>18</v>
      </c>
      <c r="B81" s="4" t="s">
        <v>18</v>
      </c>
      <c r="C81" s="4" t="str">
        <f aca="false">IF(LEFT(E81,2)="S5","Spritz","Standard")</f>
        <v>Standard</v>
      </c>
      <c r="D81" s="4" t="n">
        <v>2</v>
      </c>
      <c r="E81" s="5" t="s">
        <v>22</v>
      </c>
      <c r="F81" s="1" t="s">
        <v>20</v>
      </c>
      <c r="G81" s="1" t="n">
        <v>147.3</v>
      </c>
      <c r="H81" s="1" t="n">
        <v>139.4</v>
      </c>
      <c r="I81" s="1" t="n">
        <v>25.02</v>
      </c>
      <c r="J81" s="1" t="n">
        <v>0.7913</v>
      </c>
      <c r="K81" s="1" t="n">
        <v>5.358</v>
      </c>
      <c r="L81" s="1" t="n">
        <v>0.1477</v>
      </c>
      <c r="M81" s="1" t="n">
        <v>-0.1698</v>
      </c>
      <c r="N81" s="1" t="n">
        <v>0.5</v>
      </c>
      <c r="O81" s="6" t="n">
        <v>1.326E-005</v>
      </c>
      <c r="P81" s="1" t="n">
        <v>0.1786</v>
      </c>
      <c r="Q81" s="1" t="n">
        <v>1.5</v>
      </c>
      <c r="R81" s="1" t="n">
        <v>5.473</v>
      </c>
    </row>
    <row r="82" customFormat="false" ht="12.8" hidden="false" customHeight="false" outlineLevel="0" collapsed="false">
      <c r="A82" s="1" t="n">
        <v>19</v>
      </c>
      <c r="B82" s="4" t="s">
        <v>18</v>
      </c>
      <c r="C82" s="4" t="str">
        <f aca="false">IF(LEFT(E82,2)="S5","Spritz","Standard")</f>
        <v>Standard</v>
      </c>
      <c r="D82" s="4" t="n">
        <v>2</v>
      </c>
      <c r="E82" s="5" t="s">
        <v>22</v>
      </c>
      <c r="F82" s="1" t="s">
        <v>20</v>
      </c>
      <c r="G82" s="1" t="n">
        <v>155.1</v>
      </c>
      <c r="H82" s="1" t="n">
        <v>147.1</v>
      </c>
      <c r="I82" s="1" t="n">
        <v>25.02</v>
      </c>
      <c r="J82" s="1" t="n">
        <v>0.7856</v>
      </c>
      <c r="K82" s="1" t="n">
        <v>6.695</v>
      </c>
      <c r="L82" s="1" t="n">
        <v>0.1173</v>
      </c>
      <c r="M82" s="1" t="n">
        <v>-0.1686</v>
      </c>
      <c r="N82" s="1" t="n">
        <v>0.5</v>
      </c>
      <c r="O82" s="6" t="n">
        <v>1.316E-005</v>
      </c>
      <c r="P82" s="1" t="n">
        <v>0.2232</v>
      </c>
      <c r="Q82" s="1" t="n">
        <v>0.8915</v>
      </c>
      <c r="R82" s="1" t="n">
        <v>0.7835</v>
      </c>
    </row>
    <row r="83" customFormat="false" ht="12.8" hidden="false" customHeight="false" outlineLevel="0" collapsed="false">
      <c r="A83" s="1" t="n">
        <v>20</v>
      </c>
      <c r="B83" s="4" t="s">
        <v>18</v>
      </c>
      <c r="C83" s="4" t="str">
        <f aca="false">IF(LEFT(E83,2)="S5","Spritz","Standard")</f>
        <v>Standard</v>
      </c>
      <c r="D83" s="4" t="n">
        <v>2</v>
      </c>
      <c r="E83" s="5" t="s">
        <v>22</v>
      </c>
      <c r="F83" s="1" t="s">
        <v>20</v>
      </c>
      <c r="G83" s="1" t="n">
        <v>162.8</v>
      </c>
      <c r="H83" s="1" t="n">
        <v>154.8</v>
      </c>
      <c r="I83" s="1" t="n">
        <v>25.02</v>
      </c>
      <c r="J83" s="1" t="n">
        <v>0.785</v>
      </c>
      <c r="K83" s="1" t="n">
        <v>8.367</v>
      </c>
      <c r="L83" s="1" t="n">
        <v>0.09382</v>
      </c>
      <c r="M83" s="1" t="n">
        <v>-0.1696</v>
      </c>
      <c r="N83" s="1" t="n">
        <v>0.5</v>
      </c>
      <c r="O83" s="6" t="n">
        <v>1.315E-005</v>
      </c>
      <c r="P83" s="1" t="n">
        <v>0.2789</v>
      </c>
      <c r="Q83" s="1" t="n">
        <v>0.9281</v>
      </c>
      <c r="R83" s="1" t="n">
        <v>2.776</v>
      </c>
    </row>
    <row r="84" customFormat="false" ht="12.8" hidden="false" customHeight="false" outlineLevel="0" collapsed="false">
      <c r="A84" s="1" t="n">
        <v>21</v>
      </c>
      <c r="B84" s="4" t="s">
        <v>18</v>
      </c>
      <c r="C84" s="4" t="str">
        <f aca="false">IF(LEFT(E84,2)="S5","Spritz","Standard")</f>
        <v>Standard</v>
      </c>
      <c r="D84" s="4" t="n">
        <v>2</v>
      </c>
      <c r="E84" s="5" t="s">
        <v>22</v>
      </c>
      <c r="F84" s="1" t="s">
        <v>20</v>
      </c>
      <c r="G84" s="1" t="n">
        <v>170.6</v>
      </c>
      <c r="H84" s="1" t="n">
        <v>162.6</v>
      </c>
      <c r="I84" s="1" t="n">
        <v>25.02</v>
      </c>
      <c r="J84" s="1" t="n">
        <v>0.7796</v>
      </c>
      <c r="K84" s="1" t="n">
        <v>10.46</v>
      </c>
      <c r="L84" s="1" t="n">
        <v>0.07457</v>
      </c>
      <c r="M84" s="1" t="n">
        <v>-0.1695</v>
      </c>
      <c r="N84" s="1" t="n">
        <v>0.5</v>
      </c>
      <c r="O84" s="6" t="n">
        <v>1.306E-005</v>
      </c>
      <c r="P84" s="1" t="n">
        <v>0.3485</v>
      </c>
      <c r="Q84" s="1" t="n">
        <v>1.01</v>
      </c>
      <c r="R84" s="1" t="n">
        <v>5.265</v>
      </c>
    </row>
    <row r="85" customFormat="false" ht="12.8" hidden="false" customHeight="false" outlineLevel="0" collapsed="false">
      <c r="A85" s="1" t="n">
        <v>22</v>
      </c>
      <c r="B85" s="4" t="s">
        <v>18</v>
      </c>
      <c r="C85" s="4" t="str">
        <f aca="false">IF(LEFT(E85,2)="S5","Spritz","Standard")</f>
        <v>Standard</v>
      </c>
      <c r="D85" s="4" t="n">
        <v>2</v>
      </c>
      <c r="E85" s="5" t="s">
        <v>22</v>
      </c>
      <c r="F85" s="1" t="s">
        <v>20</v>
      </c>
      <c r="G85" s="1" t="n">
        <v>178.3</v>
      </c>
      <c r="H85" s="1" t="n">
        <v>170.3</v>
      </c>
      <c r="I85" s="1" t="n">
        <v>25.01</v>
      </c>
      <c r="J85" s="1" t="n">
        <v>0.6876</v>
      </c>
      <c r="K85" s="1" t="n">
        <v>13.07</v>
      </c>
      <c r="L85" s="1" t="n">
        <v>0.05263</v>
      </c>
      <c r="M85" s="1" t="n">
        <v>-0.1702</v>
      </c>
      <c r="N85" s="1" t="n">
        <v>0.5</v>
      </c>
      <c r="O85" s="6" t="n">
        <v>1.152E-005</v>
      </c>
      <c r="P85" s="1" t="n">
        <v>0.4356</v>
      </c>
      <c r="Q85" s="1" t="n">
        <v>0.9634</v>
      </c>
      <c r="R85" s="1" t="n">
        <v>2.094</v>
      </c>
    </row>
    <row r="86" customFormat="false" ht="12.8" hidden="false" customHeight="false" outlineLevel="0" collapsed="false">
      <c r="A86" s="1" t="n">
        <v>23</v>
      </c>
      <c r="B86" s="4" t="s">
        <v>18</v>
      </c>
      <c r="C86" s="4" t="str">
        <f aca="false">IF(LEFT(E86,2)="S5","Spritz","Standard")</f>
        <v>Standard</v>
      </c>
      <c r="D86" s="4" t="n">
        <v>2</v>
      </c>
      <c r="E86" s="5" t="s">
        <v>22</v>
      </c>
      <c r="F86" s="1" t="s">
        <v>20</v>
      </c>
      <c r="G86" s="1" t="n">
        <v>186.1</v>
      </c>
      <c r="H86" s="1" t="n">
        <v>178.1</v>
      </c>
      <c r="I86" s="1" t="n">
        <v>25.01</v>
      </c>
      <c r="J86" s="1" t="n">
        <v>0.8344</v>
      </c>
      <c r="K86" s="1" t="n">
        <v>16.33</v>
      </c>
      <c r="L86" s="1" t="n">
        <v>0.05111</v>
      </c>
      <c r="M86" s="1" t="n">
        <v>-0.1701</v>
      </c>
      <c r="N86" s="1" t="n">
        <v>0.5</v>
      </c>
      <c r="O86" s="6" t="n">
        <v>1.398E-005</v>
      </c>
      <c r="P86" s="1" t="n">
        <v>0.5443</v>
      </c>
      <c r="Q86" s="1" t="n">
        <v>0.863</v>
      </c>
      <c r="R86" s="1" t="n">
        <v>5.98</v>
      </c>
    </row>
    <row r="87" customFormat="false" ht="12.8" hidden="false" customHeight="false" outlineLevel="0" collapsed="false">
      <c r="A87" s="1" t="n">
        <v>24</v>
      </c>
      <c r="B87" s="4" t="s">
        <v>18</v>
      </c>
      <c r="C87" s="4" t="str">
        <f aca="false">IF(LEFT(E87,2)="S5","Spritz","Standard")</f>
        <v>Standard</v>
      </c>
      <c r="D87" s="4" t="n">
        <v>2</v>
      </c>
      <c r="E87" s="5" t="s">
        <v>22</v>
      </c>
      <c r="F87" s="1" t="s">
        <v>20</v>
      </c>
      <c r="G87" s="1" t="n">
        <v>193.8</v>
      </c>
      <c r="H87" s="1" t="n">
        <v>185.8</v>
      </c>
      <c r="I87" s="1" t="n">
        <v>25.01</v>
      </c>
      <c r="J87" s="1" t="n">
        <v>0.8002</v>
      </c>
      <c r="K87" s="1" t="n">
        <v>20.4</v>
      </c>
      <c r="L87" s="1" t="n">
        <v>0.03922</v>
      </c>
      <c r="M87" s="1" t="n">
        <v>-0.1707</v>
      </c>
      <c r="N87" s="1" t="n">
        <v>0.5</v>
      </c>
      <c r="O87" s="6" t="n">
        <v>1.341E-005</v>
      </c>
      <c r="P87" s="1" t="n">
        <v>0.6801</v>
      </c>
      <c r="Q87" s="1" t="n">
        <v>1.027</v>
      </c>
      <c r="R87" s="1" t="n">
        <v>4.553</v>
      </c>
    </row>
    <row r="88" customFormat="false" ht="12.8" hidden="false" customHeight="false" outlineLevel="0" collapsed="false">
      <c r="A88" s="1" t="n">
        <v>25</v>
      </c>
      <c r="B88" s="4" t="s">
        <v>18</v>
      </c>
      <c r="C88" s="4" t="str">
        <f aca="false">IF(LEFT(E88,2)="S5","Spritz","Standard")</f>
        <v>Standard</v>
      </c>
      <c r="D88" s="4" t="n">
        <v>2</v>
      </c>
      <c r="E88" s="5" t="s">
        <v>22</v>
      </c>
      <c r="F88" s="1" t="s">
        <v>20</v>
      </c>
      <c r="G88" s="1" t="n">
        <v>201.5</v>
      </c>
      <c r="H88" s="1" t="n">
        <v>193.5</v>
      </c>
      <c r="I88" s="1" t="n">
        <v>25.02</v>
      </c>
      <c r="J88" s="1" t="n">
        <v>0.9474</v>
      </c>
      <c r="K88" s="1" t="n">
        <v>25.5</v>
      </c>
      <c r="L88" s="1" t="n">
        <v>0.03716</v>
      </c>
      <c r="M88" s="1" t="n">
        <v>-0.171</v>
      </c>
      <c r="N88" s="1" t="n">
        <v>0.5</v>
      </c>
      <c r="O88" s="6" t="n">
        <v>1.587E-005</v>
      </c>
      <c r="P88" s="1" t="n">
        <v>0.8499</v>
      </c>
      <c r="Q88" s="1" t="n">
        <v>0.7041</v>
      </c>
      <c r="R88" s="1" t="n">
        <v>4.342</v>
      </c>
    </row>
    <row r="89" customFormat="false" ht="12.8" hidden="false" customHeight="false" outlineLevel="0" collapsed="false">
      <c r="A89" s="1" t="n">
        <v>26</v>
      </c>
      <c r="B89" s="4" t="s">
        <v>18</v>
      </c>
      <c r="C89" s="4" t="str">
        <f aca="false">IF(LEFT(E89,2)="S5","Spritz","Standard")</f>
        <v>Standard</v>
      </c>
      <c r="D89" s="4" t="n">
        <v>2</v>
      </c>
      <c r="E89" s="5" t="s">
        <v>22</v>
      </c>
      <c r="F89" s="1" t="s">
        <v>20</v>
      </c>
      <c r="G89" s="1" t="n">
        <v>209.3</v>
      </c>
      <c r="H89" s="1" t="n">
        <v>201.3</v>
      </c>
      <c r="I89" s="1" t="n">
        <v>25.01</v>
      </c>
      <c r="J89" s="1" t="n">
        <v>0.9377</v>
      </c>
      <c r="K89" s="1" t="n">
        <v>31.86</v>
      </c>
      <c r="L89" s="1" t="n">
        <v>0.02943</v>
      </c>
      <c r="M89" s="1" t="n">
        <v>-0.1716</v>
      </c>
      <c r="N89" s="1" t="n">
        <v>0.5</v>
      </c>
      <c r="O89" s="6" t="n">
        <v>1.571E-005</v>
      </c>
      <c r="P89" s="1" t="n">
        <v>1.062</v>
      </c>
      <c r="Q89" s="1" t="n">
        <v>1.395</v>
      </c>
      <c r="R89" s="1" t="n">
        <v>5.642</v>
      </c>
    </row>
    <row r="90" customFormat="false" ht="12.8" hidden="false" customHeight="false" outlineLevel="0" collapsed="false">
      <c r="A90" s="1" t="n">
        <v>27</v>
      </c>
      <c r="B90" s="4" t="s">
        <v>18</v>
      </c>
      <c r="C90" s="4" t="str">
        <f aca="false">IF(LEFT(E90,2)="S5","Spritz","Standard")</f>
        <v>Standard</v>
      </c>
      <c r="D90" s="4" t="n">
        <v>2</v>
      </c>
      <c r="E90" s="5" t="s">
        <v>22</v>
      </c>
      <c r="F90" s="1" t="s">
        <v>20</v>
      </c>
      <c r="G90" s="1" t="n">
        <v>217</v>
      </c>
      <c r="H90" s="1" t="n">
        <v>209</v>
      </c>
      <c r="I90" s="1" t="n">
        <v>25.01</v>
      </c>
      <c r="J90" s="1" t="n">
        <v>1.482</v>
      </c>
      <c r="K90" s="1" t="n">
        <v>39.81</v>
      </c>
      <c r="L90" s="1" t="n">
        <v>0.03723</v>
      </c>
      <c r="M90" s="1" t="n">
        <v>-0.1716</v>
      </c>
      <c r="N90" s="1" t="n">
        <v>0.5</v>
      </c>
      <c r="O90" s="6" t="n">
        <v>2.483E-005</v>
      </c>
      <c r="P90" s="1" t="n">
        <v>1.327</v>
      </c>
      <c r="Q90" s="1" t="n">
        <v>1.166</v>
      </c>
      <c r="R90" s="1" t="n">
        <v>2.552</v>
      </c>
    </row>
    <row r="91" customFormat="false" ht="12.8" hidden="false" customHeight="false" outlineLevel="0" collapsed="false">
      <c r="A91" s="1" t="n">
        <v>28</v>
      </c>
      <c r="B91" s="4" t="s">
        <v>18</v>
      </c>
      <c r="C91" s="4" t="str">
        <f aca="false">IF(LEFT(E91,2)="S5","Spritz","Standard")</f>
        <v>Standard</v>
      </c>
      <c r="D91" s="4" t="n">
        <v>2</v>
      </c>
      <c r="E91" s="5" t="s">
        <v>22</v>
      </c>
      <c r="F91" s="1" t="s">
        <v>20</v>
      </c>
      <c r="G91" s="1" t="n">
        <v>224.8</v>
      </c>
      <c r="H91" s="1" t="n">
        <v>216.8</v>
      </c>
      <c r="I91" s="1" t="n">
        <v>25.01</v>
      </c>
      <c r="J91" s="1" t="n">
        <v>1.106</v>
      </c>
      <c r="K91" s="1" t="n">
        <v>49.75</v>
      </c>
      <c r="L91" s="1" t="n">
        <v>0.02223</v>
      </c>
      <c r="M91" s="1" t="n">
        <v>-0.171</v>
      </c>
      <c r="N91" s="1" t="n">
        <v>0.5</v>
      </c>
      <c r="O91" s="6" t="n">
        <v>1.853E-005</v>
      </c>
      <c r="P91" s="1" t="n">
        <v>1.659</v>
      </c>
      <c r="Q91" s="1" t="n">
        <v>1.12</v>
      </c>
      <c r="R91" s="1" t="n">
        <v>1.835</v>
      </c>
    </row>
    <row r="92" customFormat="false" ht="12.8" hidden="false" customHeight="false" outlineLevel="0" collapsed="false">
      <c r="A92" s="1" t="n">
        <v>29</v>
      </c>
      <c r="B92" s="4" t="s">
        <v>18</v>
      </c>
      <c r="C92" s="4" t="str">
        <f aca="false">IF(LEFT(E92,2)="S5","Spritz","Standard")</f>
        <v>Standard</v>
      </c>
      <c r="D92" s="4" t="n">
        <v>2</v>
      </c>
      <c r="E92" s="5" t="s">
        <v>22</v>
      </c>
      <c r="F92" s="1" t="s">
        <v>20</v>
      </c>
      <c r="G92" s="1" t="n">
        <v>232.5</v>
      </c>
      <c r="H92" s="1" t="n">
        <v>224.5</v>
      </c>
      <c r="I92" s="1" t="n">
        <v>25.01</v>
      </c>
      <c r="J92" s="1" t="n">
        <v>1.176</v>
      </c>
      <c r="K92" s="1" t="n">
        <v>62.17</v>
      </c>
      <c r="L92" s="1" t="n">
        <v>0.01891</v>
      </c>
      <c r="M92" s="1" t="n">
        <v>-0.1697</v>
      </c>
      <c r="N92" s="1" t="n">
        <v>0.5</v>
      </c>
      <c r="O92" s="6" t="n">
        <v>1.97E-005</v>
      </c>
      <c r="P92" s="1" t="n">
        <v>2.072</v>
      </c>
      <c r="Q92" s="1" t="n">
        <v>1.148</v>
      </c>
      <c r="R92" s="1" t="n">
        <v>4.066</v>
      </c>
    </row>
    <row r="93" customFormat="false" ht="12.8" hidden="false" customHeight="false" outlineLevel="0" collapsed="false">
      <c r="A93" s="1" t="n">
        <v>30</v>
      </c>
      <c r="B93" s="4" t="s">
        <v>18</v>
      </c>
      <c r="C93" s="4" t="str">
        <f aca="false">IF(LEFT(E93,2)="S5","Spritz","Standard")</f>
        <v>Standard</v>
      </c>
      <c r="D93" s="4" t="n">
        <v>2</v>
      </c>
      <c r="E93" s="5" t="s">
        <v>22</v>
      </c>
      <c r="F93" s="1" t="s">
        <v>20</v>
      </c>
      <c r="G93" s="1" t="n">
        <v>240.3</v>
      </c>
      <c r="H93" s="1" t="n">
        <v>232.3</v>
      </c>
      <c r="I93" s="1" t="n">
        <v>25.01</v>
      </c>
      <c r="J93" s="1" t="n">
        <v>1.282</v>
      </c>
      <c r="K93" s="1" t="n">
        <v>77.7</v>
      </c>
      <c r="L93" s="1" t="n">
        <v>0.0165</v>
      </c>
      <c r="M93" s="1" t="n">
        <v>-0.1715</v>
      </c>
      <c r="N93" s="1" t="n">
        <v>0.5</v>
      </c>
      <c r="O93" s="6" t="n">
        <v>2.148E-005</v>
      </c>
      <c r="P93" s="1" t="n">
        <v>2.59</v>
      </c>
      <c r="Q93" s="1" t="n">
        <v>0.683</v>
      </c>
      <c r="R93" s="1" t="n">
        <v>3.721</v>
      </c>
    </row>
    <row r="94" customFormat="false" ht="12.8" hidden="false" customHeight="false" outlineLevel="0" collapsed="false">
      <c r="A94" s="1" t="n">
        <v>31</v>
      </c>
      <c r="B94" s="4" t="s">
        <v>18</v>
      </c>
      <c r="C94" s="4" t="str">
        <f aca="false">IF(LEFT(E94,2)="S5","Spritz","Standard")</f>
        <v>Standard</v>
      </c>
      <c r="D94" s="4" t="n">
        <v>2</v>
      </c>
      <c r="E94" s="5" t="s">
        <v>22</v>
      </c>
      <c r="F94" s="1" t="s">
        <v>20</v>
      </c>
      <c r="G94" s="1" t="n">
        <v>248</v>
      </c>
      <c r="H94" s="1" t="n">
        <v>240</v>
      </c>
      <c r="I94" s="1" t="n">
        <v>25.01</v>
      </c>
      <c r="J94" s="1" t="n">
        <v>1.721</v>
      </c>
      <c r="K94" s="1" t="n">
        <v>97.08</v>
      </c>
      <c r="L94" s="1" t="n">
        <v>0.01773</v>
      </c>
      <c r="M94" s="1" t="n">
        <v>-0.1734</v>
      </c>
      <c r="N94" s="1" t="n">
        <v>0.5</v>
      </c>
      <c r="O94" s="6" t="n">
        <v>2.883E-005</v>
      </c>
      <c r="P94" s="1" t="n">
        <v>3.236</v>
      </c>
      <c r="Q94" s="1" t="n">
        <v>1.181</v>
      </c>
      <c r="R94" s="1" t="n">
        <v>1.696</v>
      </c>
    </row>
    <row r="95" customFormat="false" ht="12.8" hidden="false" customHeight="false" outlineLevel="0" collapsed="false">
      <c r="A95" s="1" t="n">
        <v>1</v>
      </c>
      <c r="B95" s="4" t="s">
        <v>23</v>
      </c>
      <c r="C95" s="4" t="s">
        <v>24</v>
      </c>
      <c r="D95" s="4" t="n">
        <f aca="false">IF(RIGHT(E95,2)=".1",1,IF(RIGHT(E95,2)=".2",2,0))</f>
        <v>0</v>
      </c>
      <c r="E95" s="7" t="s">
        <v>25</v>
      </c>
      <c r="F95" s="1" t="s">
        <v>20</v>
      </c>
      <c r="G95" s="1" t="n">
        <v>15.83</v>
      </c>
      <c r="H95" s="1" t="n">
        <v>7.74</v>
      </c>
      <c r="I95" s="1" t="n">
        <v>25.07</v>
      </c>
      <c r="J95" s="1" t="n">
        <v>0.1289</v>
      </c>
      <c r="K95" s="1" t="n">
        <v>0.1213</v>
      </c>
      <c r="L95" s="1" t="n">
        <v>1.063</v>
      </c>
      <c r="M95" s="1" t="n">
        <v>-0.03168</v>
      </c>
      <c r="N95" s="1" t="n">
        <v>0.5</v>
      </c>
      <c r="O95" s="6" t="n">
        <v>2.159E-006</v>
      </c>
      <c r="P95" s="6" t="n">
        <v>0.004042</v>
      </c>
      <c r="Q95" s="1" t="n">
        <v>0.9648</v>
      </c>
      <c r="R95" s="1" t="n">
        <v>1.938</v>
      </c>
    </row>
    <row r="96" customFormat="false" ht="12.8" hidden="false" customHeight="false" outlineLevel="0" collapsed="false">
      <c r="A96" s="1" t="n">
        <v>2</v>
      </c>
      <c r="B96" s="4" t="s">
        <v>23</v>
      </c>
      <c r="C96" s="4" t="s">
        <v>24</v>
      </c>
      <c r="D96" s="4" t="n">
        <f aca="false">IF(RIGHT(E96,2)=".1",1,IF(RIGHT(E96,2)=".2",2,0))</f>
        <v>0</v>
      </c>
      <c r="E96" s="7" t="s">
        <v>25</v>
      </c>
      <c r="F96" s="1" t="s">
        <v>20</v>
      </c>
      <c r="G96" s="1" t="n">
        <v>23.58</v>
      </c>
      <c r="H96" s="1" t="n">
        <v>15.49</v>
      </c>
      <c r="I96" s="1" t="n">
        <v>25.07</v>
      </c>
      <c r="J96" s="1" t="n">
        <v>0.1488</v>
      </c>
      <c r="K96" s="1" t="n">
        <v>0.1515</v>
      </c>
      <c r="L96" s="1" t="n">
        <v>0.9817</v>
      </c>
      <c r="M96" s="1" t="n">
        <v>-0.03071</v>
      </c>
      <c r="N96" s="1" t="n">
        <v>0.5</v>
      </c>
      <c r="O96" s="6" t="n">
        <v>2.492E-006</v>
      </c>
      <c r="P96" s="6" t="n">
        <v>0.005051</v>
      </c>
      <c r="Q96" s="1" t="n">
        <v>0.9797</v>
      </c>
      <c r="R96" s="1" t="n">
        <v>1.974</v>
      </c>
    </row>
    <row r="97" customFormat="false" ht="12.8" hidden="false" customHeight="false" outlineLevel="0" collapsed="false">
      <c r="A97" s="1" t="n">
        <v>3</v>
      </c>
      <c r="B97" s="4" t="s">
        <v>23</v>
      </c>
      <c r="C97" s="4" t="s">
        <v>24</v>
      </c>
      <c r="D97" s="4" t="n">
        <f aca="false">IF(RIGHT(E97,2)=".1",1,IF(RIGHT(E97,2)=".2",2,0))</f>
        <v>0</v>
      </c>
      <c r="E97" s="7" t="s">
        <v>25</v>
      </c>
      <c r="F97" s="1" t="s">
        <v>20</v>
      </c>
      <c r="G97" s="1" t="n">
        <v>31.32</v>
      </c>
      <c r="H97" s="1" t="n">
        <v>23.23</v>
      </c>
      <c r="I97" s="1" t="n">
        <v>25.07</v>
      </c>
      <c r="J97" s="1" t="n">
        <v>0.1435</v>
      </c>
      <c r="K97" s="1" t="n">
        <v>0.1894</v>
      </c>
      <c r="L97" s="1" t="n">
        <v>0.758</v>
      </c>
      <c r="M97" s="1" t="n">
        <v>-0.03109</v>
      </c>
      <c r="N97" s="1" t="n">
        <v>0.5</v>
      </c>
      <c r="O97" s="6" t="n">
        <v>2.404E-006</v>
      </c>
      <c r="P97" s="6" t="n">
        <v>0.006312</v>
      </c>
      <c r="Q97" s="1" t="n">
        <v>1.032</v>
      </c>
      <c r="R97" s="1" t="n">
        <v>2.02</v>
      </c>
    </row>
    <row r="98" customFormat="false" ht="12.8" hidden="false" customHeight="false" outlineLevel="0" collapsed="false">
      <c r="A98" s="1" t="n">
        <v>4</v>
      </c>
      <c r="B98" s="4" t="s">
        <v>23</v>
      </c>
      <c r="C98" s="4" t="s">
        <v>24</v>
      </c>
      <c r="D98" s="4" t="n">
        <f aca="false">IF(RIGHT(E98,2)=".1",1,IF(RIGHT(E98,2)=".2",2,0))</f>
        <v>0</v>
      </c>
      <c r="E98" s="7" t="s">
        <v>25</v>
      </c>
      <c r="F98" s="1" t="s">
        <v>20</v>
      </c>
      <c r="G98" s="1" t="n">
        <v>39.06</v>
      </c>
      <c r="H98" s="1" t="n">
        <v>30.97</v>
      </c>
      <c r="I98" s="1" t="n">
        <v>25.07</v>
      </c>
      <c r="J98" s="1" t="n">
        <v>0.1521</v>
      </c>
      <c r="K98" s="1" t="n">
        <v>0.2366</v>
      </c>
      <c r="L98" s="1" t="n">
        <v>0.6427</v>
      </c>
      <c r="M98" s="1" t="n">
        <v>-0.03075</v>
      </c>
      <c r="N98" s="1" t="n">
        <v>0.5</v>
      </c>
      <c r="O98" s="6" t="n">
        <v>2.548E-006</v>
      </c>
      <c r="P98" s="6" t="n">
        <v>0.007889</v>
      </c>
      <c r="Q98" s="1" t="n">
        <v>0.9295</v>
      </c>
      <c r="R98" s="1" t="n">
        <v>2.076</v>
      </c>
    </row>
    <row r="99" customFormat="false" ht="12.8" hidden="false" customHeight="false" outlineLevel="0" collapsed="false">
      <c r="A99" s="1" t="n">
        <v>5</v>
      </c>
      <c r="B99" s="4" t="s">
        <v>23</v>
      </c>
      <c r="C99" s="4" t="s">
        <v>24</v>
      </c>
      <c r="D99" s="4" t="n">
        <f aca="false">IF(RIGHT(E99,2)=".1",1,IF(RIGHT(E99,2)=".2",2,0))</f>
        <v>0</v>
      </c>
      <c r="E99" s="7" t="s">
        <v>25</v>
      </c>
      <c r="F99" s="1" t="s">
        <v>20</v>
      </c>
      <c r="G99" s="1" t="n">
        <v>46.8</v>
      </c>
      <c r="H99" s="1" t="n">
        <v>38.71</v>
      </c>
      <c r="I99" s="1" t="n">
        <v>25.06</v>
      </c>
      <c r="J99" s="1" t="n">
        <v>0.1428</v>
      </c>
      <c r="K99" s="1" t="n">
        <v>0.2957</v>
      </c>
      <c r="L99" s="1" t="n">
        <v>0.483</v>
      </c>
      <c r="M99" s="1" t="n">
        <v>-0.03047</v>
      </c>
      <c r="N99" s="1" t="n">
        <v>0.5</v>
      </c>
      <c r="O99" s="6" t="n">
        <v>2.393E-006</v>
      </c>
      <c r="P99" s="6" t="n">
        <v>0.009857</v>
      </c>
      <c r="Q99" s="1" t="n">
        <v>1.028</v>
      </c>
      <c r="R99" s="1" t="n">
        <v>2.146</v>
      </c>
    </row>
    <row r="100" customFormat="false" ht="12.8" hidden="false" customHeight="false" outlineLevel="0" collapsed="false">
      <c r="A100" s="1" t="n">
        <v>6</v>
      </c>
      <c r="B100" s="4" t="s">
        <v>23</v>
      </c>
      <c r="C100" s="4" t="s">
        <v>24</v>
      </c>
      <c r="D100" s="4" t="n">
        <f aca="false">IF(RIGHT(E100,2)=".1",1,IF(RIGHT(E100,2)=".2",2,0))</f>
        <v>0</v>
      </c>
      <c r="E100" s="7" t="s">
        <v>25</v>
      </c>
      <c r="F100" s="1" t="s">
        <v>20</v>
      </c>
      <c r="G100" s="1" t="n">
        <v>54.54</v>
      </c>
      <c r="H100" s="1" t="n">
        <v>46.45</v>
      </c>
      <c r="I100" s="1" t="n">
        <v>25.05</v>
      </c>
      <c r="J100" s="1" t="n">
        <v>0.1532</v>
      </c>
      <c r="K100" s="1" t="n">
        <v>0.3695</v>
      </c>
      <c r="L100" s="1" t="n">
        <v>0.4145</v>
      </c>
      <c r="M100" s="1" t="n">
        <v>-0.03012</v>
      </c>
      <c r="N100" s="1" t="n">
        <v>0.5</v>
      </c>
      <c r="O100" s="6" t="n">
        <v>2.566E-006</v>
      </c>
      <c r="P100" s="1" t="n">
        <v>0.01232</v>
      </c>
      <c r="Q100" s="1" t="n">
        <v>0.9493</v>
      </c>
      <c r="R100" s="1" t="n">
        <v>2.234</v>
      </c>
    </row>
    <row r="101" customFormat="false" ht="12.8" hidden="false" customHeight="false" outlineLevel="0" collapsed="false">
      <c r="A101" s="1" t="n">
        <v>7</v>
      </c>
      <c r="B101" s="4" t="s">
        <v>23</v>
      </c>
      <c r="C101" s="4" t="s">
        <v>24</v>
      </c>
      <c r="D101" s="4" t="n">
        <f aca="false">IF(RIGHT(E101,2)=".1",1,IF(RIGHT(E101,2)=".2",2,0))</f>
        <v>0</v>
      </c>
      <c r="E101" s="7" t="s">
        <v>25</v>
      </c>
      <c r="F101" s="1" t="s">
        <v>20</v>
      </c>
      <c r="G101" s="1" t="n">
        <v>62.29</v>
      </c>
      <c r="H101" s="1" t="n">
        <v>54.19</v>
      </c>
      <c r="I101" s="1" t="n">
        <v>25.05</v>
      </c>
      <c r="J101" s="1" t="n">
        <v>0.1561</v>
      </c>
      <c r="K101" s="1" t="n">
        <v>0.4618</v>
      </c>
      <c r="L101" s="1" t="n">
        <v>0.3381</v>
      </c>
      <c r="M101" s="1" t="n">
        <v>-0.03103</v>
      </c>
      <c r="N101" s="1" t="n">
        <v>0.5</v>
      </c>
      <c r="O101" s="6" t="n">
        <v>2.616E-006</v>
      </c>
      <c r="P101" s="1" t="n">
        <v>0.01539</v>
      </c>
      <c r="Q101" s="1" t="n">
        <v>0.9746</v>
      </c>
      <c r="R101" s="1" t="n">
        <v>2.344</v>
      </c>
    </row>
    <row r="102" customFormat="false" ht="12.8" hidden="false" customHeight="false" outlineLevel="0" collapsed="false">
      <c r="A102" s="1" t="n">
        <v>8</v>
      </c>
      <c r="B102" s="4" t="s">
        <v>23</v>
      </c>
      <c r="C102" s="4" t="s">
        <v>24</v>
      </c>
      <c r="D102" s="4" t="n">
        <f aca="false">IF(RIGHT(E102,2)=".1",1,IF(RIGHT(E102,2)=".2",2,0))</f>
        <v>0</v>
      </c>
      <c r="E102" s="7" t="s">
        <v>25</v>
      </c>
      <c r="F102" s="1" t="s">
        <v>20</v>
      </c>
      <c r="G102" s="1" t="n">
        <v>70.03</v>
      </c>
      <c r="H102" s="1" t="n">
        <v>61.93</v>
      </c>
      <c r="I102" s="1" t="n">
        <v>25.04</v>
      </c>
      <c r="J102" s="1" t="n">
        <v>0.1598</v>
      </c>
      <c r="K102" s="1" t="n">
        <v>0.577</v>
      </c>
      <c r="L102" s="1" t="n">
        <v>0.277</v>
      </c>
      <c r="M102" s="1" t="n">
        <v>-0.03176</v>
      </c>
      <c r="N102" s="1" t="n">
        <v>0.5</v>
      </c>
      <c r="O102" s="6" t="n">
        <v>2.677E-006</v>
      </c>
      <c r="P102" s="1" t="n">
        <v>0.01924</v>
      </c>
      <c r="Q102" s="1" t="n">
        <v>1.123</v>
      </c>
      <c r="R102" s="1" t="n">
        <v>2.482</v>
      </c>
    </row>
    <row r="103" customFormat="false" ht="12.8" hidden="false" customHeight="false" outlineLevel="0" collapsed="false">
      <c r="A103" s="1" t="n">
        <v>9</v>
      </c>
      <c r="B103" s="4" t="s">
        <v>23</v>
      </c>
      <c r="C103" s="4" t="s">
        <v>24</v>
      </c>
      <c r="D103" s="4" t="n">
        <f aca="false">IF(RIGHT(E103,2)=".1",1,IF(RIGHT(E103,2)=".2",2,0))</f>
        <v>0</v>
      </c>
      <c r="E103" s="7" t="s">
        <v>25</v>
      </c>
      <c r="F103" s="1" t="s">
        <v>20</v>
      </c>
      <c r="G103" s="1" t="n">
        <v>77.77</v>
      </c>
      <c r="H103" s="1" t="n">
        <v>69.67</v>
      </c>
      <c r="I103" s="1" t="n">
        <v>25.04</v>
      </c>
      <c r="J103" s="1" t="n">
        <v>0.1528</v>
      </c>
      <c r="K103" s="1" t="n">
        <v>0.721</v>
      </c>
      <c r="L103" s="1" t="n">
        <v>0.2119</v>
      </c>
      <c r="M103" s="1" t="n">
        <v>-0.03146</v>
      </c>
      <c r="N103" s="1" t="n">
        <v>0.5</v>
      </c>
      <c r="O103" s="6" t="n">
        <v>2.559E-006</v>
      </c>
      <c r="P103" s="1" t="n">
        <v>0.02404</v>
      </c>
      <c r="Q103" s="1" t="n">
        <v>1.005</v>
      </c>
      <c r="R103" s="1" t="n">
        <v>2.653</v>
      </c>
    </row>
    <row r="104" customFormat="false" ht="12.8" hidden="false" customHeight="false" outlineLevel="0" collapsed="false">
      <c r="A104" s="1" t="n">
        <v>10</v>
      </c>
      <c r="B104" s="4" t="s">
        <v>23</v>
      </c>
      <c r="C104" s="4" t="s">
        <v>24</v>
      </c>
      <c r="D104" s="4" t="n">
        <f aca="false">IF(RIGHT(E104,2)=".1",1,IF(RIGHT(E104,2)=".2",2,0))</f>
        <v>0</v>
      </c>
      <c r="E104" s="7" t="s">
        <v>25</v>
      </c>
      <c r="F104" s="1" t="s">
        <v>20</v>
      </c>
      <c r="G104" s="1" t="n">
        <v>85.51</v>
      </c>
      <c r="H104" s="1" t="n">
        <v>77.42</v>
      </c>
      <c r="I104" s="1" t="n">
        <v>25.04</v>
      </c>
      <c r="J104" s="1" t="n">
        <v>0.1727</v>
      </c>
      <c r="K104" s="1" t="n">
        <v>0.9011</v>
      </c>
      <c r="L104" s="1" t="n">
        <v>0.1916</v>
      </c>
      <c r="M104" s="1" t="n">
        <v>-0.03109</v>
      </c>
      <c r="N104" s="1" t="n">
        <v>0.5</v>
      </c>
      <c r="O104" s="6" t="n">
        <v>2.893E-006</v>
      </c>
      <c r="P104" s="1" t="n">
        <v>0.03004</v>
      </c>
      <c r="Q104" s="1" t="n">
        <v>0.9601</v>
      </c>
      <c r="R104" s="1" t="n">
        <v>2.868</v>
      </c>
    </row>
    <row r="105" customFormat="false" ht="12.8" hidden="false" customHeight="false" outlineLevel="0" collapsed="false">
      <c r="A105" s="1" t="n">
        <v>11</v>
      </c>
      <c r="B105" s="4" t="s">
        <v>23</v>
      </c>
      <c r="C105" s="4" t="s">
        <v>24</v>
      </c>
      <c r="D105" s="4" t="n">
        <f aca="false">IF(RIGHT(E105,2)=".1",1,IF(RIGHT(E105,2)=".2",2,0))</f>
        <v>0</v>
      </c>
      <c r="E105" s="7" t="s">
        <v>25</v>
      </c>
      <c r="F105" s="1" t="s">
        <v>20</v>
      </c>
      <c r="G105" s="1" t="n">
        <v>93.25</v>
      </c>
      <c r="H105" s="1" t="n">
        <v>85.16</v>
      </c>
      <c r="I105" s="1" t="n">
        <v>25.04</v>
      </c>
      <c r="J105" s="1" t="n">
        <v>0.1789</v>
      </c>
      <c r="K105" s="1" t="n">
        <v>1.126</v>
      </c>
      <c r="L105" s="1" t="n">
        <v>0.1589</v>
      </c>
      <c r="M105" s="1" t="n">
        <v>-0.03143</v>
      </c>
      <c r="N105" s="1" t="n">
        <v>0.5</v>
      </c>
      <c r="O105" s="6" t="n">
        <v>2.997E-006</v>
      </c>
      <c r="P105" s="1" t="n">
        <v>0.03753</v>
      </c>
      <c r="Q105" s="1" t="n">
        <v>0.9916</v>
      </c>
      <c r="R105" s="1" t="n">
        <v>3.136</v>
      </c>
    </row>
    <row r="106" customFormat="false" ht="12.8" hidden="false" customHeight="false" outlineLevel="0" collapsed="false">
      <c r="A106" s="1" t="n">
        <v>12</v>
      </c>
      <c r="B106" s="4" t="s">
        <v>23</v>
      </c>
      <c r="C106" s="4" t="s">
        <v>24</v>
      </c>
      <c r="D106" s="4" t="n">
        <f aca="false">IF(RIGHT(E106,2)=".1",1,IF(RIGHT(E106,2)=".2",2,0))</f>
        <v>0</v>
      </c>
      <c r="E106" s="7" t="s">
        <v>25</v>
      </c>
      <c r="F106" s="1" t="s">
        <v>20</v>
      </c>
      <c r="G106" s="1" t="n">
        <v>101</v>
      </c>
      <c r="H106" s="1" t="n">
        <v>92.9</v>
      </c>
      <c r="I106" s="1" t="n">
        <v>25.03</v>
      </c>
      <c r="J106" s="1" t="n">
        <v>0.1848</v>
      </c>
      <c r="K106" s="1" t="n">
        <v>1.407</v>
      </c>
      <c r="L106" s="1" t="n">
        <v>0.1313</v>
      </c>
      <c r="M106" s="1" t="n">
        <v>-0.03104</v>
      </c>
      <c r="N106" s="1" t="n">
        <v>0.5</v>
      </c>
      <c r="O106" s="6" t="n">
        <v>3.096E-006</v>
      </c>
      <c r="P106" s="1" t="n">
        <v>0.04691</v>
      </c>
      <c r="Q106" s="1" t="n">
        <v>1.095</v>
      </c>
      <c r="R106" s="1" t="n">
        <v>3.471</v>
      </c>
    </row>
    <row r="107" customFormat="false" ht="12.8" hidden="false" customHeight="false" outlineLevel="0" collapsed="false">
      <c r="A107" s="1" t="n">
        <v>13</v>
      </c>
      <c r="B107" s="4" t="s">
        <v>23</v>
      </c>
      <c r="C107" s="4" t="s">
        <v>24</v>
      </c>
      <c r="D107" s="4" t="n">
        <f aca="false">IF(RIGHT(E107,2)=".1",1,IF(RIGHT(E107,2)=".2",2,0))</f>
        <v>0</v>
      </c>
      <c r="E107" s="7" t="s">
        <v>25</v>
      </c>
      <c r="F107" s="1" t="s">
        <v>20</v>
      </c>
      <c r="G107" s="1" t="n">
        <v>108.7</v>
      </c>
      <c r="H107" s="1" t="n">
        <v>100.6</v>
      </c>
      <c r="I107" s="1" t="n">
        <v>25.03</v>
      </c>
      <c r="J107" s="1" t="n">
        <v>0.146</v>
      </c>
      <c r="K107" s="1" t="n">
        <v>1.758</v>
      </c>
      <c r="L107" s="1" t="n">
        <v>0.08303</v>
      </c>
      <c r="M107" s="1" t="n">
        <v>-0.03071</v>
      </c>
      <c r="N107" s="1" t="n">
        <v>0.5</v>
      </c>
      <c r="O107" s="6" t="n">
        <v>2.446E-006</v>
      </c>
      <c r="P107" s="1" t="n">
        <v>0.05861</v>
      </c>
      <c r="Q107" s="1" t="n">
        <v>0.8874</v>
      </c>
      <c r="R107" s="1" t="n">
        <v>3.889</v>
      </c>
    </row>
    <row r="108" customFormat="false" ht="12.8" hidden="false" customHeight="false" outlineLevel="0" collapsed="false">
      <c r="A108" s="1" t="n">
        <v>14</v>
      </c>
      <c r="B108" s="4" t="s">
        <v>23</v>
      </c>
      <c r="C108" s="4" t="s">
        <v>24</v>
      </c>
      <c r="D108" s="4" t="n">
        <f aca="false">IF(RIGHT(E108,2)=".1",1,IF(RIGHT(E108,2)=".2",2,0))</f>
        <v>0</v>
      </c>
      <c r="E108" s="7" t="s">
        <v>25</v>
      </c>
      <c r="F108" s="1" t="s">
        <v>20</v>
      </c>
      <c r="G108" s="1" t="n">
        <v>116.5</v>
      </c>
      <c r="H108" s="1" t="n">
        <v>108.4</v>
      </c>
      <c r="I108" s="1" t="n">
        <v>25.03</v>
      </c>
      <c r="J108" s="1" t="n">
        <v>0.1841</v>
      </c>
      <c r="K108" s="1" t="n">
        <v>2.197</v>
      </c>
      <c r="L108" s="1" t="n">
        <v>0.08379</v>
      </c>
      <c r="M108" s="1" t="n">
        <v>-0.03069</v>
      </c>
      <c r="N108" s="1" t="n">
        <v>0.5</v>
      </c>
      <c r="O108" s="6" t="n">
        <v>3.084E-006</v>
      </c>
      <c r="P108" s="1" t="n">
        <v>0.07324</v>
      </c>
      <c r="Q108" s="1" t="n">
        <v>0.8622</v>
      </c>
      <c r="R108" s="1" t="n">
        <v>4.412</v>
      </c>
    </row>
    <row r="109" customFormat="false" ht="12.8" hidden="false" customHeight="false" outlineLevel="0" collapsed="false">
      <c r="A109" s="1" t="n">
        <v>15</v>
      </c>
      <c r="B109" s="4" t="s">
        <v>23</v>
      </c>
      <c r="C109" s="4" t="s">
        <v>24</v>
      </c>
      <c r="D109" s="4" t="n">
        <f aca="false">IF(RIGHT(E109,2)=".1",1,IF(RIGHT(E109,2)=".2",2,0))</f>
        <v>0</v>
      </c>
      <c r="E109" s="7" t="s">
        <v>25</v>
      </c>
      <c r="F109" s="1" t="s">
        <v>20</v>
      </c>
      <c r="G109" s="1" t="n">
        <v>124.2</v>
      </c>
      <c r="H109" s="1" t="n">
        <v>116.1</v>
      </c>
      <c r="I109" s="1" t="n">
        <v>25.03</v>
      </c>
      <c r="J109" s="1" t="n">
        <v>0.2528</v>
      </c>
      <c r="K109" s="1" t="n">
        <v>2.746</v>
      </c>
      <c r="L109" s="1" t="n">
        <v>0.09205</v>
      </c>
      <c r="M109" s="1" t="n">
        <v>-0.03079</v>
      </c>
      <c r="N109" s="1" t="n">
        <v>0.5</v>
      </c>
      <c r="O109" s="6" t="n">
        <v>4.234E-006</v>
      </c>
      <c r="P109" s="1" t="n">
        <v>0.09153</v>
      </c>
      <c r="Q109" s="1" t="n">
        <v>0.7822</v>
      </c>
      <c r="R109" s="1" t="n">
        <v>5.066</v>
      </c>
    </row>
    <row r="110" customFormat="false" ht="12.8" hidden="false" customHeight="false" outlineLevel="0" collapsed="false">
      <c r="A110" s="1" t="n">
        <v>16</v>
      </c>
      <c r="B110" s="4" t="s">
        <v>23</v>
      </c>
      <c r="C110" s="4" t="s">
        <v>24</v>
      </c>
      <c r="D110" s="4" t="n">
        <f aca="false">IF(RIGHT(E110,2)=".1",1,IF(RIGHT(E110,2)=".2",2,0))</f>
        <v>0</v>
      </c>
      <c r="E110" s="7" t="s">
        <v>25</v>
      </c>
      <c r="F110" s="1" t="s">
        <v>20</v>
      </c>
      <c r="G110" s="1" t="n">
        <v>132</v>
      </c>
      <c r="H110" s="1" t="n">
        <v>123.9</v>
      </c>
      <c r="I110" s="1" t="n">
        <v>25.02</v>
      </c>
      <c r="J110" s="1" t="n">
        <v>0.3276</v>
      </c>
      <c r="K110" s="1" t="n">
        <v>3.431</v>
      </c>
      <c r="L110" s="1" t="n">
        <v>0.09548</v>
      </c>
      <c r="M110" s="1" t="n">
        <v>-0.03121</v>
      </c>
      <c r="N110" s="1" t="n">
        <v>0.5</v>
      </c>
      <c r="O110" s="6" t="n">
        <v>5.488E-006</v>
      </c>
      <c r="P110" s="1" t="n">
        <v>0.1144</v>
      </c>
      <c r="Q110" s="1" t="n">
        <v>0.6999</v>
      </c>
      <c r="R110" s="1" t="n">
        <v>5.883</v>
      </c>
    </row>
    <row r="111" customFormat="false" ht="12.8" hidden="false" customHeight="false" outlineLevel="0" collapsed="false">
      <c r="A111" s="1" t="n">
        <v>17</v>
      </c>
      <c r="B111" s="4" t="s">
        <v>23</v>
      </c>
      <c r="C111" s="4" t="s">
        <v>24</v>
      </c>
      <c r="D111" s="4" t="n">
        <f aca="false">IF(RIGHT(E111,2)=".1",1,IF(RIGHT(E111,2)=".2",2,0))</f>
        <v>0</v>
      </c>
      <c r="E111" s="7" t="s">
        <v>25</v>
      </c>
      <c r="F111" s="1" t="s">
        <v>20</v>
      </c>
      <c r="G111" s="1" t="n">
        <v>139.7</v>
      </c>
      <c r="H111" s="1" t="n">
        <v>131.6</v>
      </c>
      <c r="I111" s="1" t="n">
        <v>25.02</v>
      </c>
      <c r="J111" s="1" t="n">
        <v>0.3325</v>
      </c>
      <c r="K111" s="1" t="n">
        <v>4.288</v>
      </c>
      <c r="L111" s="1" t="n">
        <v>0.07755</v>
      </c>
      <c r="M111" s="1" t="n">
        <v>-0.03106</v>
      </c>
      <c r="N111" s="1" t="n">
        <v>0.5</v>
      </c>
      <c r="O111" s="6" t="n">
        <v>5.571E-006</v>
      </c>
      <c r="P111" s="1" t="n">
        <v>0.1429</v>
      </c>
      <c r="Q111" s="1" t="n">
        <v>0.961</v>
      </c>
      <c r="R111" s="1" t="n">
        <v>0.6211</v>
      </c>
    </row>
    <row r="112" customFormat="false" ht="12.8" hidden="false" customHeight="false" outlineLevel="0" collapsed="false">
      <c r="A112" s="1" t="n">
        <v>18</v>
      </c>
      <c r="B112" s="4" t="s">
        <v>23</v>
      </c>
      <c r="C112" s="4" t="s">
        <v>24</v>
      </c>
      <c r="D112" s="4" t="n">
        <f aca="false">IF(RIGHT(E112,2)=".1",1,IF(RIGHT(E112,2)=".2",2,0))</f>
        <v>0</v>
      </c>
      <c r="E112" s="7" t="s">
        <v>25</v>
      </c>
      <c r="F112" s="1" t="s">
        <v>20</v>
      </c>
      <c r="G112" s="1" t="n">
        <v>147.4</v>
      </c>
      <c r="H112" s="1" t="n">
        <v>139.4</v>
      </c>
      <c r="I112" s="1" t="n">
        <v>25.02</v>
      </c>
      <c r="J112" s="1" t="n">
        <v>0.1581</v>
      </c>
      <c r="K112" s="1" t="n">
        <v>5.358</v>
      </c>
      <c r="L112" s="1" t="n">
        <v>0.02951</v>
      </c>
      <c r="M112" s="1" t="n">
        <v>-0.0318</v>
      </c>
      <c r="N112" s="1" t="n">
        <v>0.5</v>
      </c>
      <c r="O112" s="6" t="n">
        <v>2.649E-006</v>
      </c>
      <c r="P112" s="1" t="n">
        <v>0.1786</v>
      </c>
      <c r="Q112" s="1" t="n">
        <v>-2.629</v>
      </c>
      <c r="R112" s="1" t="n">
        <v>1.896</v>
      </c>
    </row>
    <row r="113" customFormat="false" ht="12.8" hidden="false" customHeight="false" outlineLevel="0" collapsed="false">
      <c r="A113" s="1" t="n">
        <v>19</v>
      </c>
      <c r="B113" s="4" t="s">
        <v>23</v>
      </c>
      <c r="C113" s="4" t="s">
        <v>24</v>
      </c>
      <c r="D113" s="4" t="n">
        <f aca="false">IF(RIGHT(E113,2)=".1",1,IF(RIGHT(E113,2)=".2",2,0))</f>
        <v>0</v>
      </c>
      <c r="E113" s="7" t="s">
        <v>25</v>
      </c>
      <c r="F113" s="1" t="s">
        <v>20</v>
      </c>
      <c r="G113" s="1" t="n">
        <v>155.2</v>
      </c>
      <c r="H113" s="1" t="n">
        <v>147.1</v>
      </c>
      <c r="I113" s="1" t="n">
        <v>25.02</v>
      </c>
      <c r="J113" s="1" t="n">
        <v>0.3778</v>
      </c>
      <c r="K113" s="1" t="n">
        <v>6.695</v>
      </c>
      <c r="L113" s="1" t="n">
        <v>0.05642</v>
      </c>
      <c r="M113" s="1" t="n">
        <v>-0.03234</v>
      </c>
      <c r="N113" s="1" t="n">
        <v>0.5</v>
      </c>
      <c r="O113" s="6" t="n">
        <v>6.328E-006</v>
      </c>
      <c r="P113" s="1" t="n">
        <v>0.2232</v>
      </c>
      <c r="Q113" s="1" t="n">
        <v>1.014</v>
      </c>
      <c r="R113" s="1" t="n">
        <v>3.49</v>
      </c>
    </row>
    <row r="114" customFormat="false" ht="12.8" hidden="false" customHeight="false" outlineLevel="0" collapsed="false">
      <c r="A114" s="1" t="n">
        <v>20</v>
      </c>
      <c r="B114" s="4" t="s">
        <v>23</v>
      </c>
      <c r="C114" s="4" t="s">
        <v>24</v>
      </c>
      <c r="D114" s="4" t="n">
        <f aca="false">IF(RIGHT(E114,2)=".1",1,IF(RIGHT(E114,2)=".2",2,0))</f>
        <v>0</v>
      </c>
      <c r="E114" s="7" t="s">
        <v>25</v>
      </c>
      <c r="F114" s="1" t="s">
        <v>20</v>
      </c>
      <c r="G114" s="1" t="n">
        <v>162.9</v>
      </c>
      <c r="H114" s="1" t="n">
        <v>154.8</v>
      </c>
      <c r="I114" s="1" t="n">
        <v>25.02</v>
      </c>
      <c r="J114" s="1" t="n">
        <v>0.3797</v>
      </c>
      <c r="K114" s="1" t="n">
        <v>8.367</v>
      </c>
      <c r="L114" s="1" t="n">
        <v>0.04538</v>
      </c>
      <c r="M114" s="1" t="n">
        <v>-0.03099</v>
      </c>
      <c r="N114" s="1" t="n">
        <v>0.5</v>
      </c>
      <c r="O114" s="6" t="n">
        <v>6.361E-006</v>
      </c>
      <c r="P114" s="1" t="n">
        <v>0.2789</v>
      </c>
      <c r="Q114" s="1" t="n">
        <v>0.9702</v>
      </c>
      <c r="R114" s="1" t="n">
        <v>5.483</v>
      </c>
    </row>
    <row r="115" customFormat="false" ht="12.8" hidden="false" customHeight="false" outlineLevel="0" collapsed="false">
      <c r="A115" s="1" t="n">
        <v>21</v>
      </c>
      <c r="B115" s="4" t="s">
        <v>23</v>
      </c>
      <c r="C115" s="4" t="s">
        <v>24</v>
      </c>
      <c r="D115" s="4" t="n">
        <f aca="false">IF(RIGHT(E115,2)=".1",1,IF(RIGHT(E115,2)=".2",2,0))</f>
        <v>0</v>
      </c>
      <c r="E115" s="7" t="s">
        <v>25</v>
      </c>
      <c r="F115" s="1" t="s">
        <v>20</v>
      </c>
      <c r="G115" s="1" t="n">
        <v>170.7</v>
      </c>
      <c r="H115" s="1" t="n">
        <v>162.6</v>
      </c>
      <c r="I115" s="1" t="n">
        <v>25.02</v>
      </c>
      <c r="J115" s="1" t="n">
        <v>0.3539</v>
      </c>
      <c r="K115" s="1" t="n">
        <v>10.46</v>
      </c>
      <c r="L115" s="1" t="n">
        <v>0.03385</v>
      </c>
      <c r="M115" s="1" t="n">
        <v>-0.03235</v>
      </c>
      <c r="N115" s="1" t="n">
        <v>0.5</v>
      </c>
      <c r="O115" s="6" t="n">
        <v>5.929E-006</v>
      </c>
      <c r="P115" s="1" t="n">
        <v>0.3485</v>
      </c>
      <c r="Q115" s="1" t="n">
        <v>0.8268</v>
      </c>
      <c r="R115" s="1" t="n">
        <v>1.688</v>
      </c>
    </row>
    <row r="116" customFormat="false" ht="12.8" hidden="false" customHeight="false" outlineLevel="0" collapsed="false">
      <c r="A116" s="1" t="n">
        <v>22</v>
      </c>
      <c r="B116" s="4" t="s">
        <v>23</v>
      </c>
      <c r="C116" s="4" t="s">
        <v>24</v>
      </c>
      <c r="D116" s="4" t="n">
        <f aca="false">IF(RIGHT(E116,2)=".1",1,IF(RIGHT(E116,2)=".2",2,0))</f>
        <v>0</v>
      </c>
      <c r="E116" s="7" t="s">
        <v>25</v>
      </c>
      <c r="F116" s="1" t="s">
        <v>20</v>
      </c>
      <c r="G116" s="1" t="n">
        <v>178.4</v>
      </c>
      <c r="H116" s="1" t="n">
        <v>170.3</v>
      </c>
      <c r="I116" s="1" t="n">
        <v>25.01</v>
      </c>
      <c r="J116" s="1" t="n">
        <v>0.269</v>
      </c>
      <c r="K116" s="1" t="n">
        <v>13.07</v>
      </c>
      <c r="L116" s="1" t="n">
        <v>0.02059</v>
      </c>
      <c r="M116" s="1" t="n">
        <v>-0.0318</v>
      </c>
      <c r="N116" s="1" t="n">
        <v>0.5</v>
      </c>
      <c r="O116" s="6" t="n">
        <v>4.506E-006</v>
      </c>
      <c r="P116" s="1" t="n">
        <v>0.4356</v>
      </c>
      <c r="Q116" s="1" t="n">
        <v>1.078</v>
      </c>
      <c r="R116" s="1" t="n">
        <v>4.8</v>
      </c>
    </row>
    <row r="117" customFormat="false" ht="12.8" hidden="false" customHeight="false" outlineLevel="0" collapsed="false">
      <c r="A117" s="1" t="n">
        <v>23</v>
      </c>
      <c r="B117" s="4" t="s">
        <v>23</v>
      </c>
      <c r="C117" s="4" t="s">
        <v>24</v>
      </c>
      <c r="D117" s="4" t="n">
        <f aca="false">IF(RIGHT(E117,2)=".1",1,IF(RIGHT(E117,2)=".2",2,0))</f>
        <v>0</v>
      </c>
      <c r="E117" s="7" t="s">
        <v>25</v>
      </c>
      <c r="F117" s="1" t="s">
        <v>20</v>
      </c>
      <c r="G117" s="1" t="n">
        <v>186.2</v>
      </c>
      <c r="H117" s="1" t="n">
        <v>178.1</v>
      </c>
      <c r="I117" s="1" t="n">
        <v>25.01</v>
      </c>
      <c r="J117" s="1" t="n">
        <v>0.3227</v>
      </c>
      <c r="K117" s="1" t="n">
        <v>16.33</v>
      </c>
      <c r="L117" s="1" t="n">
        <v>0.01977</v>
      </c>
      <c r="M117" s="1" t="n">
        <v>-0.03232</v>
      </c>
      <c r="N117" s="1" t="n">
        <v>0.5</v>
      </c>
      <c r="O117" s="6" t="n">
        <v>5.407E-006</v>
      </c>
      <c r="P117" s="1" t="n">
        <v>0.5443</v>
      </c>
      <c r="Q117" s="1" t="n">
        <v>0.8406</v>
      </c>
      <c r="R117" s="1" t="n">
        <v>2.403</v>
      </c>
    </row>
    <row r="118" customFormat="false" ht="12.8" hidden="false" customHeight="false" outlineLevel="0" collapsed="false">
      <c r="A118" s="1" t="n">
        <v>24</v>
      </c>
      <c r="B118" s="4" t="s">
        <v>23</v>
      </c>
      <c r="C118" s="4" t="s">
        <v>24</v>
      </c>
      <c r="D118" s="4" t="n">
        <f aca="false">IF(RIGHT(E118,2)=".1",1,IF(RIGHT(E118,2)=".2",2,0))</f>
        <v>0</v>
      </c>
      <c r="E118" s="7" t="s">
        <v>25</v>
      </c>
      <c r="F118" s="1" t="s">
        <v>20</v>
      </c>
      <c r="G118" s="1" t="n">
        <v>193.9</v>
      </c>
      <c r="H118" s="1" t="n">
        <v>185.8</v>
      </c>
      <c r="I118" s="1" t="n">
        <v>25.01</v>
      </c>
      <c r="J118" s="1" t="n">
        <v>0.3273</v>
      </c>
      <c r="K118" s="1" t="n">
        <v>20.4</v>
      </c>
      <c r="L118" s="1" t="n">
        <v>0.01604</v>
      </c>
      <c r="M118" s="1" t="n">
        <v>-0.03221</v>
      </c>
      <c r="N118" s="1" t="n">
        <v>0.5</v>
      </c>
      <c r="O118" s="6" t="n">
        <v>5.482E-006</v>
      </c>
      <c r="P118" s="1" t="n">
        <v>0.6801</v>
      </c>
      <c r="Q118" s="1" t="n">
        <v>1.252</v>
      </c>
      <c r="R118" s="1" t="n">
        <v>0.9763</v>
      </c>
    </row>
    <row r="119" customFormat="false" ht="12.8" hidden="false" customHeight="false" outlineLevel="0" collapsed="false">
      <c r="A119" s="1" t="n">
        <v>25</v>
      </c>
      <c r="B119" s="4" t="s">
        <v>23</v>
      </c>
      <c r="C119" s="4" t="s">
        <v>24</v>
      </c>
      <c r="D119" s="4" t="n">
        <f aca="false">IF(RIGHT(E119,2)=".1",1,IF(RIGHT(E119,2)=".2",2,0))</f>
        <v>0</v>
      </c>
      <c r="E119" s="7" t="s">
        <v>25</v>
      </c>
      <c r="F119" s="1" t="s">
        <v>20</v>
      </c>
      <c r="G119" s="1" t="n">
        <v>201.6</v>
      </c>
      <c r="H119" s="1" t="n">
        <v>193.5</v>
      </c>
      <c r="I119" s="1" t="n">
        <v>25.01</v>
      </c>
      <c r="J119" s="1" t="n">
        <v>0.3952</v>
      </c>
      <c r="K119" s="1" t="n">
        <v>25.5</v>
      </c>
      <c r="L119" s="1" t="n">
        <v>0.0155</v>
      </c>
      <c r="M119" s="1" t="n">
        <v>-0.0316</v>
      </c>
      <c r="N119" s="1" t="n">
        <v>0.5</v>
      </c>
      <c r="O119" s="6" t="n">
        <v>6.621E-006</v>
      </c>
      <c r="P119" s="1" t="n">
        <v>0.8499</v>
      </c>
      <c r="Q119" s="1" t="n">
        <v>0.8919</v>
      </c>
      <c r="R119" s="1" t="n">
        <v>0.7654</v>
      </c>
    </row>
    <row r="120" customFormat="false" ht="12.8" hidden="false" customHeight="false" outlineLevel="0" collapsed="false">
      <c r="A120" s="1" t="n">
        <v>26</v>
      </c>
      <c r="B120" s="4" t="s">
        <v>23</v>
      </c>
      <c r="C120" s="4" t="s">
        <v>24</v>
      </c>
      <c r="D120" s="4" t="n">
        <f aca="false">IF(RIGHT(E120,2)=".1",1,IF(RIGHT(E120,2)=".2",2,0))</f>
        <v>0</v>
      </c>
      <c r="E120" s="7" t="s">
        <v>25</v>
      </c>
      <c r="F120" s="1" t="s">
        <v>20</v>
      </c>
      <c r="G120" s="1" t="n">
        <v>209.4</v>
      </c>
      <c r="H120" s="1" t="n">
        <v>201.3</v>
      </c>
      <c r="I120" s="1" t="n">
        <v>25.01</v>
      </c>
      <c r="J120" s="1" t="n">
        <v>0.3863</v>
      </c>
      <c r="K120" s="1" t="n">
        <v>31.86</v>
      </c>
      <c r="L120" s="1" t="n">
        <v>0.01213</v>
      </c>
      <c r="M120" s="1" t="n">
        <v>-0.03281</v>
      </c>
      <c r="N120" s="1" t="n">
        <v>0.5</v>
      </c>
      <c r="O120" s="6" t="n">
        <v>6.472E-006</v>
      </c>
      <c r="P120" s="1" t="n">
        <v>1.062</v>
      </c>
      <c r="Q120" s="1" t="n">
        <v>0.7396</v>
      </c>
      <c r="R120" s="1" t="n">
        <v>2.066</v>
      </c>
    </row>
    <row r="121" customFormat="false" ht="12.8" hidden="false" customHeight="false" outlineLevel="0" collapsed="false">
      <c r="A121" s="1" t="n">
        <v>27</v>
      </c>
      <c r="B121" s="4" t="s">
        <v>23</v>
      </c>
      <c r="C121" s="4" t="s">
        <v>24</v>
      </c>
      <c r="D121" s="4" t="n">
        <f aca="false">IF(RIGHT(E121,2)=".1",1,IF(RIGHT(E121,2)=".2",2,0))</f>
        <v>0</v>
      </c>
      <c r="E121" s="7" t="s">
        <v>25</v>
      </c>
      <c r="F121" s="1" t="s">
        <v>20</v>
      </c>
      <c r="G121" s="1" t="n">
        <v>217.1</v>
      </c>
      <c r="H121" s="1" t="n">
        <v>209</v>
      </c>
      <c r="I121" s="1" t="n">
        <v>25.01</v>
      </c>
      <c r="J121" s="1" t="n">
        <v>0.4704</v>
      </c>
      <c r="K121" s="1" t="n">
        <v>39.81</v>
      </c>
      <c r="L121" s="1" t="n">
        <v>0.01182</v>
      </c>
      <c r="M121" s="1" t="n">
        <v>-0.03158</v>
      </c>
      <c r="N121" s="1" t="n">
        <v>0.5</v>
      </c>
      <c r="O121" s="6" t="n">
        <v>7.88E-006</v>
      </c>
      <c r="P121" s="1" t="n">
        <v>1.327</v>
      </c>
      <c r="Q121" s="1" t="n">
        <v>1.274</v>
      </c>
      <c r="R121" s="1" t="n">
        <v>5.258</v>
      </c>
    </row>
    <row r="122" customFormat="false" ht="12.8" hidden="false" customHeight="false" outlineLevel="0" collapsed="false">
      <c r="A122" s="1" t="n">
        <v>28</v>
      </c>
      <c r="B122" s="4" t="s">
        <v>23</v>
      </c>
      <c r="C122" s="4" t="s">
        <v>24</v>
      </c>
      <c r="D122" s="4" t="n">
        <f aca="false">IF(RIGHT(E122,2)=".1",1,IF(RIGHT(E122,2)=".2",2,0))</f>
        <v>0</v>
      </c>
      <c r="E122" s="7" t="s">
        <v>25</v>
      </c>
      <c r="F122" s="1" t="s">
        <v>20</v>
      </c>
      <c r="G122" s="1" t="n">
        <v>224.9</v>
      </c>
      <c r="H122" s="1" t="n">
        <v>216.8</v>
      </c>
      <c r="I122" s="1" t="n">
        <v>25.01</v>
      </c>
      <c r="J122" s="1" t="n">
        <v>0.5049</v>
      </c>
      <c r="K122" s="1" t="n">
        <v>49.75</v>
      </c>
      <c r="L122" s="1" t="n">
        <v>0.01015</v>
      </c>
      <c r="M122" s="1" t="n">
        <v>-0.03228</v>
      </c>
      <c r="N122" s="1" t="n">
        <v>0.5</v>
      </c>
      <c r="O122" s="6" t="n">
        <v>8.458E-006</v>
      </c>
      <c r="P122" s="1" t="n">
        <v>1.658</v>
      </c>
      <c r="Q122" s="1" t="n">
        <v>0.8858</v>
      </c>
      <c r="R122" s="1" t="n">
        <v>4.541</v>
      </c>
    </row>
    <row r="123" customFormat="false" ht="12.8" hidden="false" customHeight="false" outlineLevel="0" collapsed="false">
      <c r="A123" s="1" t="n">
        <v>29</v>
      </c>
      <c r="B123" s="4" t="s">
        <v>23</v>
      </c>
      <c r="C123" s="4" t="s">
        <v>24</v>
      </c>
      <c r="D123" s="4" t="n">
        <f aca="false">IF(RIGHT(E123,2)=".1",1,IF(RIGHT(E123,2)=".2",2,0))</f>
        <v>0</v>
      </c>
      <c r="E123" s="7" t="s">
        <v>25</v>
      </c>
      <c r="F123" s="1" t="s">
        <v>20</v>
      </c>
      <c r="G123" s="1" t="n">
        <v>232.6</v>
      </c>
      <c r="H123" s="1" t="n">
        <v>224.5</v>
      </c>
      <c r="I123" s="1" t="n">
        <v>25.01</v>
      </c>
      <c r="J123" s="1" t="n">
        <v>0.5567</v>
      </c>
      <c r="K123" s="1" t="n">
        <v>62.17</v>
      </c>
      <c r="L123" s="6" t="n">
        <v>0.008954</v>
      </c>
      <c r="M123" s="1" t="n">
        <v>-0.03316</v>
      </c>
      <c r="N123" s="1" t="n">
        <v>0.5</v>
      </c>
      <c r="O123" s="6" t="n">
        <v>9.326E-006</v>
      </c>
      <c r="P123" s="1" t="n">
        <v>2.072</v>
      </c>
      <c r="Q123" s="1" t="n">
        <v>0.9286</v>
      </c>
      <c r="R123" s="1" t="n">
        <v>0.4896</v>
      </c>
    </row>
    <row r="124" customFormat="false" ht="12.8" hidden="false" customHeight="false" outlineLevel="0" collapsed="false">
      <c r="A124" s="1" t="n">
        <v>30</v>
      </c>
      <c r="B124" s="4" t="s">
        <v>23</v>
      </c>
      <c r="C124" s="4" t="s">
        <v>24</v>
      </c>
      <c r="D124" s="4" t="n">
        <f aca="false">IF(RIGHT(E124,2)=".1",1,IF(RIGHT(E124,2)=".2",2,0))</f>
        <v>0</v>
      </c>
      <c r="E124" s="7" t="s">
        <v>25</v>
      </c>
      <c r="F124" s="1" t="s">
        <v>20</v>
      </c>
      <c r="G124" s="1" t="n">
        <v>240.4</v>
      </c>
      <c r="H124" s="1" t="n">
        <v>232.3</v>
      </c>
      <c r="I124" s="1" t="n">
        <v>25.01</v>
      </c>
      <c r="J124" s="1" t="n">
        <v>0.6917</v>
      </c>
      <c r="K124" s="1" t="n">
        <v>77.69</v>
      </c>
      <c r="L124" s="6" t="n">
        <v>0.008903</v>
      </c>
      <c r="M124" s="1" t="n">
        <v>-0.03348</v>
      </c>
      <c r="N124" s="1" t="n">
        <v>0.5</v>
      </c>
      <c r="O124" s="6" t="n">
        <v>1.159E-005</v>
      </c>
      <c r="P124" s="1" t="n">
        <v>2.59</v>
      </c>
      <c r="Q124" s="1" t="n">
        <v>0.6236</v>
      </c>
      <c r="R124" s="1" t="n">
        <v>0.1439</v>
      </c>
    </row>
    <row r="125" customFormat="false" ht="12.8" hidden="false" customHeight="false" outlineLevel="0" collapsed="false">
      <c r="A125" s="1" t="n">
        <v>31</v>
      </c>
      <c r="B125" s="4" t="s">
        <v>23</v>
      </c>
      <c r="C125" s="4" t="s">
        <v>24</v>
      </c>
      <c r="D125" s="4" t="n">
        <f aca="false">IF(RIGHT(E125,2)=".1",1,IF(RIGHT(E125,2)=".2",2,0))</f>
        <v>0</v>
      </c>
      <c r="E125" s="7" t="s">
        <v>25</v>
      </c>
      <c r="F125" s="1" t="s">
        <v>20</v>
      </c>
      <c r="G125" s="1" t="n">
        <v>248.1</v>
      </c>
      <c r="H125" s="1" t="n">
        <v>240</v>
      </c>
      <c r="I125" s="1" t="n">
        <v>25.01</v>
      </c>
      <c r="J125" s="1" t="n">
        <v>0.8897</v>
      </c>
      <c r="K125" s="1" t="n">
        <v>97.08</v>
      </c>
      <c r="L125" s="6" t="n">
        <v>0.009164</v>
      </c>
      <c r="M125" s="1" t="n">
        <v>-0.03424</v>
      </c>
      <c r="N125" s="1" t="n">
        <v>0.5</v>
      </c>
      <c r="O125" s="6" t="n">
        <v>1.49E-005</v>
      </c>
      <c r="P125" s="1" t="n">
        <v>3.236</v>
      </c>
      <c r="Q125" s="1" t="n">
        <v>0.8497</v>
      </c>
      <c r="R125" s="1" t="n">
        <v>4.403</v>
      </c>
    </row>
    <row r="126" customFormat="false" ht="12.8" hidden="false" customHeight="false" outlineLevel="0" collapsed="false">
      <c r="A126" s="1" t="n">
        <v>1</v>
      </c>
      <c r="B126" s="4" t="s">
        <v>23</v>
      </c>
      <c r="C126" s="4" t="s">
        <v>24</v>
      </c>
      <c r="D126" s="4" t="n">
        <v>1</v>
      </c>
      <c r="E126" s="5" t="s">
        <v>26</v>
      </c>
      <c r="F126" s="1" t="s">
        <v>20</v>
      </c>
      <c r="G126" s="1" t="n">
        <v>17.84</v>
      </c>
      <c r="H126" s="1" t="n">
        <v>7.74</v>
      </c>
      <c r="I126" s="1" t="n">
        <v>25.06</v>
      </c>
      <c r="J126" s="1" t="n">
        <v>0.1059</v>
      </c>
      <c r="K126" s="1" t="n">
        <v>0.1213</v>
      </c>
      <c r="L126" s="1" t="n">
        <v>0.873</v>
      </c>
      <c r="M126" s="1" t="n">
        <v>-0.02979</v>
      </c>
      <c r="N126" s="1" t="n">
        <v>0.5</v>
      </c>
      <c r="O126" s="6" t="n">
        <v>1.773E-006</v>
      </c>
      <c r="P126" s="6" t="n">
        <v>0.004042</v>
      </c>
      <c r="Q126" s="1" t="n">
        <v>1.008</v>
      </c>
      <c r="R126" s="1" t="n">
        <v>4.674</v>
      </c>
    </row>
    <row r="127" customFormat="false" ht="12.8" hidden="false" customHeight="false" outlineLevel="0" collapsed="false">
      <c r="A127" s="1" t="n">
        <v>2</v>
      </c>
      <c r="B127" s="4" t="s">
        <v>23</v>
      </c>
      <c r="C127" s="4" t="s">
        <v>24</v>
      </c>
      <c r="D127" s="4" t="n">
        <v>1</v>
      </c>
      <c r="E127" s="5" t="s">
        <v>26</v>
      </c>
      <c r="F127" s="1" t="s">
        <v>20</v>
      </c>
      <c r="G127" s="1" t="n">
        <v>25.58</v>
      </c>
      <c r="H127" s="1" t="n">
        <v>15.49</v>
      </c>
      <c r="I127" s="1" t="n">
        <v>25.06</v>
      </c>
      <c r="J127" s="1" t="n">
        <v>0.1129</v>
      </c>
      <c r="K127" s="1" t="n">
        <v>0.1515</v>
      </c>
      <c r="L127" s="1" t="n">
        <v>0.7448</v>
      </c>
      <c r="M127" s="1" t="n">
        <v>-0.02939</v>
      </c>
      <c r="N127" s="1" t="n">
        <v>0.5</v>
      </c>
      <c r="O127" s="6" t="n">
        <v>1.891E-006</v>
      </c>
      <c r="P127" s="6" t="n">
        <v>0.005051</v>
      </c>
      <c r="Q127" s="1" t="n">
        <v>0.9599</v>
      </c>
      <c r="R127" s="1" t="n">
        <v>4.71</v>
      </c>
    </row>
    <row r="128" customFormat="false" ht="12.8" hidden="false" customHeight="false" outlineLevel="0" collapsed="false">
      <c r="A128" s="1" t="n">
        <v>3</v>
      </c>
      <c r="B128" s="4" t="s">
        <v>23</v>
      </c>
      <c r="C128" s="4" t="s">
        <v>24</v>
      </c>
      <c r="D128" s="4" t="n">
        <v>1</v>
      </c>
      <c r="E128" s="5" t="s">
        <v>26</v>
      </c>
      <c r="F128" s="1" t="s">
        <v>20</v>
      </c>
      <c r="G128" s="1" t="n">
        <v>33.32</v>
      </c>
      <c r="H128" s="1" t="n">
        <v>23.23</v>
      </c>
      <c r="I128" s="1" t="n">
        <v>25.07</v>
      </c>
      <c r="J128" s="1" t="n">
        <v>0.115</v>
      </c>
      <c r="K128" s="1" t="n">
        <v>0.1894</v>
      </c>
      <c r="L128" s="1" t="n">
        <v>0.6072</v>
      </c>
      <c r="M128" s="1" t="n">
        <v>-0.02996</v>
      </c>
      <c r="N128" s="1" t="n">
        <v>0.5</v>
      </c>
      <c r="O128" s="6" t="n">
        <v>1.926E-006</v>
      </c>
      <c r="P128" s="6" t="n">
        <v>0.006312</v>
      </c>
      <c r="Q128" s="1" t="n">
        <v>1.016</v>
      </c>
      <c r="R128" s="1" t="n">
        <v>4.755</v>
      </c>
    </row>
    <row r="129" customFormat="false" ht="12.8" hidden="false" customHeight="false" outlineLevel="0" collapsed="false">
      <c r="A129" s="1" t="n">
        <v>4</v>
      </c>
      <c r="B129" s="4" t="s">
        <v>23</v>
      </c>
      <c r="C129" s="4" t="s">
        <v>24</v>
      </c>
      <c r="D129" s="4" t="n">
        <v>1</v>
      </c>
      <c r="E129" s="5" t="s">
        <v>26</v>
      </c>
      <c r="F129" s="1" t="s">
        <v>20</v>
      </c>
      <c r="G129" s="1" t="n">
        <v>41.07</v>
      </c>
      <c r="H129" s="1" t="n">
        <v>30.97</v>
      </c>
      <c r="I129" s="1" t="n">
        <v>25.07</v>
      </c>
      <c r="J129" s="1" t="n">
        <v>0.11</v>
      </c>
      <c r="K129" s="1" t="n">
        <v>0.2366</v>
      </c>
      <c r="L129" s="1" t="n">
        <v>0.4648</v>
      </c>
      <c r="M129" s="1" t="n">
        <v>-0.02967</v>
      </c>
      <c r="N129" s="1" t="n">
        <v>0.5</v>
      </c>
      <c r="O129" s="6" t="n">
        <v>1.842E-006</v>
      </c>
      <c r="P129" s="6" t="n">
        <v>0.007888</v>
      </c>
      <c r="Q129" s="1" t="n">
        <v>1.016</v>
      </c>
      <c r="R129" s="1" t="n">
        <v>4.811</v>
      </c>
    </row>
    <row r="130" customFormat="false" ht="12.8" hidden="false" customHeight="false" outlineLevel="0" collapsed="false">
      <c r="A130" s="1" t="n">
        <v>5</v>
      </c>
      <c r="B130" s="4" t="s">
        <v>23</v>
      </c>
      <c r="C130" s="4" t="s">
        <v>24</v>
      </c>
      <c r="D130" s="4" t="n">
        <v>1</v>
      </c>
      <c r="E130" s="5" t="s">
        <v>26</v>
      </c>
      <c r="F130" s="1" t="s">
        <v>20</v>
      </c>
      <c r="G130" s="1" t="n">
        <v>48.81</v>
      </c>
      <c r="H130" s="1" t="n">
        <v>38.71</v>
      </c>
      <c r="I130" s="1" t="n">
        <v>25.07</v>
      </c>
      <c r="J130" s="1" t="n">
        <v>0.1153</v>
      </c>
      <c r="K130" s="1" t="n">
        <v>0.2957</v>
      </c>
      <c r="L130" s="1" t="n">
        <v>0.39</v>
      </c>
      <c r="M130" s="1" t="n">
        <v>-0.02999</v>
      </c>
      <c r="N130" s="1" t="n">
        <v>0.5</v>
      </c>
      <c r="O130" s="6" t="n">
        <v>1.932E-006</v>
      </c>
      <c r="P130" s="6" t="n">
        <v>0.009857</v>
      </c>
      <c r="Q130" s="1" t="n">
        <v>0.9781</v>
      </c>
      <c r="R130" s="1" t="n">
        <v>4.882</v>
      </c>
    </row>
    <row r="131" customFormat="false" ht="12.8" hidden="false" customHeight="false" outlineLevel="0" collapsed="false">
      <c r="A131" s="1" t="n">
        <v>6</v>
      </c>
      <c r="B131" s="4" t="s">
        <v>23</v>
      </c>
      <c r="C131" s="4" t="s">
        <v>24</v>
      </c>
      <c r="D131" s="4" t="n">
        <v>1</v>
      </c>
      <c r="E131" s="5" t="s">
        <v>26</v>
      </c>
      <c r="F131" s="1" t="s">
        <v>20</v>
      </c>
      <c r="G131" s="1" t="n">
        <v>56.55</v>
      </c>
      <c r="H131" s="1" t="n">
        <v>46.45</v>
      </c>
      <c r="I131" s="1" t="n">
        <v>25.07</v>
      </c>
      <c r="J131" s="1" t="n">
        <v>0.1156</v>
      </c>
      <c r="K131" s="1" t="n">
        <v>0.3695</v>
      </c>
      <c r="L131" s="1" t="n">
        <v>0.3129</v>
      </c>
      <c r="M131" s="1" t="n">
        <v>-0.03069</v>
      </c>
      <c r="N131" s="1" t="n">
        <v>0.5</v>
      </c>
      <c r="O131" s="6" t="n">
        <v>1.937E-006</v>
      </c>
      <c r="P131" s="1" t="n">
        <v>0.01232</v>
      </c>
      <c r="Q131" s="1" t="n">
        <v>1.015</v>
      </c>
      <c r="R131" s="1" t="n">
        <v>4.97</v>
      </c>
    </row>
    <row r="132" customFormat="false" ht="12.8" hidden="false" customHeight="false" outlineLevel="0" collapsed="false">
      <c r="A132" s="1" t="n">
        <v>7</v>
      </c>
      <c r="B132" s="4" t="s">
        <v>23</v>
      </c>
      <c r="C132" s="4" t="s">
        <v>24</v>
      </c>
      <c r="D132" s="4" t="n">
        <v>1</v>
      </c>
      <c r="E132" s="5" t="s">
        <v>26</v>
      </c>
      <c r="F132" s="1" t="s">
        <v>20</v>
      </c>
      <c r="G132" s="1" t="n">
        <v>64.29</v>
      </c>
      <c r="H132" s="1" t="n">
        <v>54.2</v>
      </c>
      <c r="I132" s="1" t="n">
        <v>25.06</v>
      </c>
      <c r="J132" s="1" t="n">
        <v>0.1186</v>
      </c>
      <c r="K132" s="1" t="n">
        <v>0.4618</v>
      </c>
      <c r="L132" s="1" t="n">
        <v>0.2568</v>
      </c>
      <c r="M132" s="1" t="n">
        <v>-0.02956</v>
      </c>
      <c r="N132" s="1" t="n">
        <v>0.5</v>
      </c>
      <c r="O132" s="6" t="n">
        <v>1.987E-006</v>
      </c>
      <c r="P132" s="1" t="n">
        <v>0.01539</v>
      </c>
      <c r="Q132" s="1" t="n">
        <v>0.973</v>
      </c>
      <c r="R132" s="1" t="n">
        <v>5.08</v>
      </c>
    </row>
    <row r="133" customFormat="false" ht="12.8" hidden="false" customHeight="false" outlineLevel="0" collapsed="false">
      <c r="A133" s="1" t="n">
        <v>8</v>
      </c>
      <c r="B133" s="4" t="s">
        <v>23</v>
      </c>
      <c r="C133" s="4" t="s">
        <v>24</v>
      </c>
      <c r="D133" s="4" t="n">
        <v>1</v>
      </c>
      <c r="E133" s="5" t="s">
        <v>26</v>
      </c>
      <c r="F133" s="1" t="s">
        <v>20</v>
      </c>
      <c r="G133" s="1" t="n">
        <v>72.03</v>
      </c>
      <c r="H133" s="1" t="n">
        <v>61.94</v>
      </c>
      <c r="I133" s="1" t="n">
        <v>25.05</v>
      </c>
      <c r="J133" s="1" t="n">
        <v>0.119</v>
      </c>
      <c r="K133" s="1" t="n">
        <v>0.577</v>
      </c>
      <c r="L133" s="1" t="n">
        <v>0.2063</v>
      </c>
      <c r="M133" s="1" t="n">
        <v>-0.02976</v>
      </c>
      <c r="N133" s="1" t="n">
        <v>0.5</v>
      </c>
      <c r="O133" s="6" t="n">
        <v>1.994E-006</v>
      </c>
      <c r="P133" s="1" t="n">
        <v>0.01923</v>
      </c>
      <c r="Q133" s="1" t="n">
        <v>0.9514</v>
      </c>
      <c r="R133" s="1" t="n">
        <v>5.217</v>
      </c>
    </row>
    <row r="134" customFormat="false" ht="12.8" hidden="false" customHeight="false" outlineLevel="0" collapsed="false">
      <c r="A134" s="1" t="n">
        <v>9</v>
      </c>
      <c r="B134" s="4" t="s">
        <v>23</v>
      </c>
      <c r="C134" s="4" t="s">
        <v>24</v>
      </c>
      <c r="D134" s="4" t="n">
        <v>1</v>
      </c>
      <c r="E134" s="5" t="s">
        <v>26</v>
      </c>
      <c r="F134" s="1" t="s">
        <v>20</v>
      </c>
      <c r="G134" s="1" t="n">
        <v>79.77</v>
      </c>
      <c r="H134" s="1" t="n">
        <v>69.68</v>
      </c>
      <c r="I134" s="1" t="n">
        <v>25.05</v>
      </c>
      <c r="J134" s="1" t="n">
        <v>0.1231</v>
      </c>
      <c r="K134" s="1" t="n">
        <v>0.721</v>
      </c>
      <c r="L134" s="1" t="n">
        <v>0.1708</v>
      </c>
      <c r="M134" s="1" t="n">
        <v>-0.02989</v>
      </c>
      <c r="N134" s="1" t="n">
        <v>0.5</v>
      </c>
      <c r="O134" s="6" t="n">
        <v>2.063E-006</v>
      </c>
      <c r="P134" s="1" t="n">
        <v>0.02404</v>
      </c>
      <c r="Q134" s="1" t="n">
        <v>0.9974</v>
      </c>
      <c r="R134" s="1" t="n">
        <v>5.389</v>
      </c>
    </row>
    <row r="135" customFormat="false" ht="12.8" hidden="false" customHeight="false" outlineLevel="0" collapsed="false">
      <c r="A135" s="1" t="n">
        <v>10</v>
      </c>
      <c r="B135" s="4" t="s">
        <v>23</v>
      </c>
      <c r="C135" s="4" t="s">
        <v>24</v>
      </c>
      <c r="D135" s="4" t="n">
        <v>1</v>
      </c>
      <c r="E135" s="5" t="s">
        <v>26</v>
      </c>
      <c r="F135" s="1" t="s">
        <v>20</v>
      </c>
      <c r="G135" s="1" t="n">
        <v>87.52</v>
      </c>
      <c r="H135" s="1" t="n">
        <v>77.42</v>
      </c>
      <c r="I135" s="1" t="n">
        <v>25.04</v>
      </c>
      <c r="J135" s="1" t="n">
        <v>0.1182</v>
      </c>
      <c r="K135" s="1" t="n">
        <v>0.9011</v>
      </c>
      <c r="L135" s="1" t="n">
        <v>0.1311</v>
      </c>
      <c r="M135" s="1" t="n">
        <v>-0.03081</v>
      </c>
      <c r="N135" s="1" t="n">
        <v>0.5</v>
      </c>
      <c r="O135" s="6" t="n">
        <v>1.98E-006</v>
      </c>
      <c r="P135" s="1" t="n">
        <v>0.03004</v>
      </c>
      <c r="Q135" s="1" t="n">
        <v>1.053</v>
      </c>
      <c r="R135" s="1" t="n">
        <v>5.603</v>
      </c>
    </row>
    <row r="136" customFormat="false" ht="12.8" hidden="false" customHeight="false" outlineLevel="0" collapsed="false">
      <c r="A136" s="1" t="n">
        <v>11</v>
      </c>
      <c r="B136" s="4" t="s">
        <v>23</v>
      </c>
      <c r="C136" s="4" t="s">
        <v>24</v>
      </c>
      <c r="D136" s="4" t="n">
        <v>1</v>
      </c>
      <c r="E136" s="5" t="s">
        <v>26</v>
      </c>
      <c r="F136" s="1" t="s">
        <v>20</v>
      </c>
      <c r="G136" s="1" t="n">
        <v>95.26</v>
      </c>
      <c r="H136" s="1" t="n">
        <v>85.16</v>
      </c>
      <c r="I136" s="1" t="n">
        <v>25.04</v>
      </c>
      <c r="J136" s="1" t="n">
        <v>0.1291</v>
      </c>
      <c r="K136" s="1" t="n">
        <v>1.126</v>
      </c>
      <c r="L136" s="1" t="n">
        <v>0.1147</v>
      </c>
      <c r="M136" s="1" t="n">
        <v>-0.03046</v>
      </c>
      <c r="N136" s="1" t="n">
        <v>0.5</v>
      </c>
      <c r="O136" s="6" t="n">
        <v>2.163E-006</v>
      </c>
      <c r="P136" s="1" t="n">
        <v>0.03753</v>
      </c>
      <c r="Q136" s="1" t="n">
        <v>0.9952</v>
      </c>
      <c r="R136" s="1" t="n">
        <v>5.871</v>
      </c>
    </row>
    <row r="137" customFormat="false" ht="12.8" hidden="false" customHeight="false" outlineLevel="0" collapsed="false">
      <c r="A137" s="1" t="n">
        <v>12</v>
      </c>
      <c r="B137" s="4" t="s">
        <v>23</v>
      </c>
      <c r="C137" s="4" t="s">
        <v>24</v>
      </c>
      <c r="D137" s="4" t="n">
        <v>1</v>
      </c>
      <c r="E137" s="5" t="s">
        <v>26</v>
      </c>
      <c r="F137" s="1" t="s">
        <v>20</v>
      </c>
      <c r="G137" s="1" t="n">
        <v>103</v>
      </c>
      <c r="H137" s="1" t="n">
        <v>92.9</v>
      </c>
      <c r="I137" s="1" t="n">
        <v>25.04</v>
      </c>
      <c r="J137" s="1" t="n">
        <v>0.1254</v>
      </c>
      <c r="K137" s="1" t="n">
        <v>1.407</v>
      </c>
      <c r="L137" s="1" t="n">
        <v>0.08911</v>
      </c>
      <c r="M137" s="1" t="n">
        <v>-0.03106</v>
      </c>
      <c r="N137" s="1" t="n">
        <v>0.5</v>
      </c>
      <c r="O137" s="6" t="n">
        <v>2.101E-006</v>
      </c>
      <c r="P137" s="1" t="n">
        <v>0.04691</v>
      </c>
      <c r="Q137" s="1" t="n">
        <v>0.9465</v>
      </c>
      <c r="R137" s="1" t="n">
        <v>6.206</v>
      </c>
    </row>
    <row r="138" customFormat="false" ht="12.8" hidden="false" customHeight="false" outlineLevel="0" collapsed="false">
      <c r="A138" s="1" t="n">
        <v>13</v>
      </c>
      <c r="B138" s="4" t="s">
        <v>23</v>
      </c>
      <c r="C138" s="4" t="s">
        <v>24</v>
      </c>
      <c r="D138" s="4" t="n">
        <v>1</v>
      </c>
      <c r="E138" s="5" t="s">
        <v>26</v>
      </c>
      <c r="F138" s="1" t="s">
        <v>20</v>
      </c>
      <c r="G138" s="1" t="n">
        <v>110.7</v>
      </c>
      <c r="H138" s="1" t="n">
        <v>100.6</v>
      </c>
      <c r="I138" s="1" t="n">
        <v>25.03</v>
      </c>
      <c r="J138" s="1" t="n">
        <v>0.1079</v>
      </c>
      <c r="K138" s="1" t="n">
        <v>1.758</v>
      </c>
      <c r="L138" s="1" t="n">
        <v>0.06139</v>
      </c>
      <c r="M138" s="1" t="n">
        <v>-0.03053</v>
      </c>
      <c r="N138" s="1" t="n">
        <v>0.5</v>
      </c>
      <c r="O138" s="6" t="n">
        <v>1.808E-006</v>
      </c>
      <c r="P138" s="1" t="n">
        <v>0.05861</v>
      </c>
      <c r="Q138" s="1" t="n">
        <v>0.6652</v>
      </c>
      <c r="R138" s="1" t="n">
        <v>0.3416</v>
      </c>
    </row>
    <row r="139" customFormat="false" ht="12.8" hidden="false" customHeight="false" outlineLevel="0" collapsed="false">
      <c r="A139" s="1" t="n">
        <v>14</v>
      </c>
      <c r="B139" s="4" t="s">
        <v>23</v>
      </c>
      <c r="C139" s="4" t="s">
        <v>24</v>
      </c>
      <c r="D139" s="4" t="n">
        <v>1</v>
      </c>
      <c r="E139" s="5" t="s">
        <v>26</v>
      </c>
      <c r="F139" s="1" t="s">
        <v>20</v>
      </c>
      <c r="G139" s="1" t="n">
        <v>118.5</v>
      </c>
      <c r="H139" s="1" t="n">
        <v>108.4</v>
      </c>
      <c r="I139" s="1" t="n">
        <v>25.03</v>
      </c>
      <c r="J139" s="1" t="n">
        <v>0.154</v>
      </c>
      <c r="K139" s="1" t="n">
        <v>2.197</v>
      </c>
      <c r="L139" s="1" t="n">
        <v>0.07008</v>
      </c>
      <c r="M139" s="1" t="n">
        <v>-0.03053</v>
      </c>
      <c r="N139" s="1" t="n">
        <v>0.5</v>
      </c>
      <c r="O139" s="6" t="n">
        <v>2.58E-006</v>
      </c>
      <c r="P139" s="1" t="n">
        <v>0.07324</v>
      </c>
      <c r="Q139" s="1" t="n">
        <v>1.136</v>
      </c>
      <c r="R139" s="1" t="n">
        <v>0.8646</v>
      </c>
    </row>
    <row r="140" customFormat="false" ht="12.8" hidden="false" customHeight="false" outlineLevel="0" collapsed="false">
      <c r="A140" s="1" t="n">
        <v>15</v>
      </c>
      <c r="B140" s="4" t="s">
        <v>23</v>
      </c>
      <c r="C140" s="4" t="s">
        <v>24</v>
      </c>
      <c r="D140" s="4" t="n">
        <v>1</v>
      </c>
      <c r="E140" s="5" t="s">
        <v>26</v>
      </c>
      <c r="F140" s="1" t="s">
        <v>20</v>
      </c>
      <c r="G140" s="1" t="n">
        <v>126.2</v>
      </c>
      <c r="H140" s="1" t="n">
        <v>116.1</v>
      </c>
      <c r="I140" s="1" t="n">
        <v>25.03</v>
      </c>
      <c r="J140" s="1" t="n">
        <v>0.198</v>
      </c>
      <c r="K140" s="1" t="n">
        <v>2.746</v>
      </c>
      <c r="L140" s="1" t="n">
        <v>0.07211</v>
      </c>
      <c r="M140" s="1" t="n">
        <v>-0.03044</v>
      </c>
      <c r="N140" s="1" t="n">
        <v>0.5</v>
      </c>
      <c r="O140" s="6" t="n">
        <v>3.317E-006</v>
      </c>
      <c r="P140" s="1" t="n">
        <v>0.09153</v>
      </c>
      <c r="Q140" s="1" t="n">
        <v>0.7422</v>
      </c>
      <c r="R140" s="1" t="n">
        <v>1.519</v>
      </c>
    </row>
    <row r="141" customFormat="false" ht="12.8" hidden="false" customHeight="false" outlineLevel="0" collapsed="false">
      <c r="A141" s="1" t="n">
        <v>16</v>
      </c>
      <c r="B141" s="4" t="s">
        <v>23</v>
      </c>
      <c r="C141" s="4" t="s">
        <v>24</v>
      </c>
      <c r="D141" s="4" t="n">
        <v>1</v>
      </c>
      <c r="E141" s="5" t="s">
        <v>26</v>
      </c>
      <c r="F141" s="1" t="s">
        <v>20</v>
      </c>
      <c r="G141" s="1" t="n">
        <v>134</v>
      </c>
      <c r="H141" s="1" t="n">
        <v>123.9</v>
      </c>
      <c r="I141" s="1" t="n">
        <v>25.03</v>
      </c>
      <c r="J141" s="1" t="n">
        <v>0.2916</v>
      </c>
      <c r="K141" s="1" t="n">
        <v>3.431</v>
      </c>
      <c r="L141" s="1" t="n">
        <v>0.08498</v>
      </c>
      <c r="M141" s="1" t="n">
        <v>-0.03009</v>
      </c>
      <c r="N141" s="1" t="n">
        <v>0.5</v>
      </c>
      <c r="O141" s="6" t="n">
        <v>4.884E-006</v>
      </c>
      <c r="P141" s="1" t="n">
        <v>0.1144</v>
      </c>
      <c r="Q141" s="1" t="n">
        <v>1.047</v>
      </c>
      <c r="R141" s="1" t="n">
        <v>2.335</v>
      </c>
    </row>
    <row r="142" customFormat="false" ht="12.8" hidden="false" customHeight="false" outlineLevel="0" collapsed="false">
      <c r="A142" s="1" t="n">
        <v>17</v>
      </c>
      <c r="B142" s="4" t="s">
        <v>23</v>
      </c>
      <c r="C142" s="4" t="s">
        <v>24</v>
      </c>
      <c r="D142" s="4" t="n">
        <v>1</v>
      </c>
      <c r="E142" s="5" t="s">
        <v>26</v>
      </c>
      <c r="F142" s="1" t="s">
        <v>20</v>
      </c>
      <c r="G142" s="1" t="n">
        <v>141.7</v>
      </c>
      <c r="H142" s="1" t="n">
        <v>131.6</v>
      </c>
      <c r="I142" s="1" t="n">
        <v>25.03</v>
      </c>
      <c r="J142" s="1" t="n">
        <v>0.3028</v>
      </c>
      <c r="K142" s="1" t="n">
        <v>4.288</v>
      </c>
      <c r="L142" s="1" t="n">
        <v>0.07062</v>
      </c>
      <c r="M142" s="1" t="n">
        <v>-0.03006</v>
      </c>
      <c r="N142" s="1" t="n">
        <v>0.5</v>
      </c>
      <c r="O142" s="6" t="n">
        <v>5.073E-006</v>
      </c>
      <c r="P142" s="1" t="n">
        <v>0.1429</v>
      </c>
      <c r="Q142" s="1" t="n">
        <v>0.5805</v>
      </c>
      <c r="R142" s="1" t="n">
        <v>3.356</v>
      </c>
    </row>
    <row r="143" customFormat="false" ht="12.8" hidden="false" customHeight="false" outlineLevel="0" collapsed="false">
      <c r="A143" s="1" t="n">
        <v>18</v>
      </c>
      <c r="B143" s="4" t="s">
        <v>23</v>
      </c>
      <c r="C143" s="4" t="s">
        <v>24</v>
      </c>
      <c r="D143" s="4" t="n">
        <v>1</v>
      </c>
      <c r="E143" s="5" t="s">
        <v>26</v>
      </c>
      <c r="F143" s="1" t="s">
        <v>20</v>
      </c>
      <c r="G143" s="1" t="n">
        <v>149.5</v>
      </c>
      <c r="H143" s="1" t="n">
        <v>139.4</v>
      </c>
      <c r="I143" s="1" t="n">
        <v>25.02</v>
      </c>
      <c r="J143" s="1" t="n">
        <v>0.3317</v>
      </c>
      <c r="K143" s="1" t="n">
        <v>5.358</v>
      </c>
      <c r="L143" s="1" t="n">
        <v>0.0619</v>
      </c>
      <c r="M143" s="1" t="n">
        <v>-0.03044</v>
      </c>
      <c r="N143" s="1" t="n">
        <v>0.5</v>
      </c>
      <c r="O143" s="6" t="n">
        <v>5.557E-006</v>
      </c>
      <c r="P143" s="1" t="n">
        <v>0.1786</v>
      </c>
      <c r="Q143" s="1" t="n">
        <v>1.659</v>
      </c>
      <c r="R143" s="1" t="n">
        <v>4.632</v>
      </c>
    </row>
    <row r="144" customFormat="false" ht="12.8" hidden="false" customHeight="false" outlineLevel="0" collapsed="false">
      <c r="A144" s="1" t="n">
        <v>19</v>
      </c>
      <c r="B144" s="4" t="s">
        <v>23</v>
      </c>
      <c r="C144" s="4" t="s">
        <v>24</v>
      </c>
      <c r="D144" s="4" t="n">
        <v>1</v>
      </c>
      <c r="E144" s="5" t="s">
        <v>26</v>
      </c>
      <c r="F144" s="1" t="s">
        <v>20</v>
      </c>
      <c r="G144" s="1" t="n">
        <v>157.2</v>
      </c>
      <c r="H144" s="1" t="n">
        <v>147.1</v>
      </c>
      <c r="I144" s="1" t="n">
        <v>25.02</v>
      </c>
      <c r="J144" s="1" t="n">
        <v>0.3254</v>
      </c>
      <c r="K144" s="1" t="n">
        <v>6.695</v>
      </c>
      <c r="L144" s="1" t="n">
        <v>0.0486</v>
      </c>
      <c r="M144" s="1" t="n">
        <v>-0.03082</v>
      </c>
      <c r="N144" s="1" t="n">
        <v>0.5</v>
      </c>
      <c r="O144" s="6" t="n">
        <v>5.451E-006</v>
      </c>
      <c r="P144" s="1" t="n">
        <v>0.2232</v>
      </c>
      <c r="Q144" s="1" t="n">
        <v>1.085</v>
      </c>
      <c r="R144" s="1" t="n">
        <v>6.225</v>
      </c>
    </row>
    <row r="145" customFormat="false" ht="12.8" hidden="false" customHeight="false" outlineLevel="0" collapsed="false">
      <c r="A145" s="1" t="n">
        <v>20</v>
      </c>
      <c r="B145" s="4" t="s">
        <v>23</v>
      </c>
      <c r="C145" s="4" t="s">
        <v>24</v>
      </c>
      <c r="D145" s="4" t="n">
        <v>1</v>
      </c>
      <c r="E145" s="5" t="s">
        <v>26</v>
      </c>
      <c r="F145" s="1" t="s">
        <v>20</v>
      </c>
      <c r="G145" s="1" t="n">
        <v>164.9</v>
      </c>
      <c r="H145" s="1" t="n">
        <v>154.8</v>
      </c>
      <c r="I145" s="1" t="n">
        <v>25.02</v>
      </c>
      <c r="J145" s="1" t="n">
        <v>0.355</v>
      </c>
      <c r="K145" s="1" t="n">
        <v>8.367</v>
      </c>
      <c r="L145" s="1" t="n">
        <v>0.04242</v>
      </c>
      <c r="M145" s="1" t="n">
        <v>-0.03047</v>
      </c>
      <c r="N145" s="1" t="n">
        <v>0.5</v>
      </c>
      <c r="O145" s="6" t="n">
        <v>5.947E-006</v>
      </c>
      <c r="P145" s="1" t="n">
        <v>0.2789</v>
      </c>
      <c r="Q145" s="1" t="n">
        <v>1.358</v>
      </c>
      <c r="R145" s="1" t="n">
        <v>1.935</v>
      </c>
    </row>
    <row r="146" customFormat="false" ht="12.8" hidden="false" customHeight="false" outlineLevel="0" collapsed="false">
      <c r="A146" s="1" t="n">
        <v>21</v>
      </c>
      <c r="B146" s="4" t="s">
        <v>23</v>
      </c>
      <c r="C146" s="4" t="s">
        <v>24</v>
      </c>
      <c r="D146" s="4" t="n">
        <v>1</v>
      </c>
      <c r="E146" s="5" t="s">
        <v>26</v>
      </c>
      <c r="F146" s="1" t="s">
        <v>20</v>
      </c>
      <c r="G146" s="1" t="n">
        <v>172.7</v>
      </c>
      <c r="H146" s="1" t="n">
        <v>162.6</v>
      </c>
      <c r="I146" s="1" t="n">
        <v>25.02</v>
      </c>
      <c r="J146" s="1" t="n">
        <v>0.3002</v>
      </c>
      <c r="K146" s="1" t="n">
        <v>10.46</v>
      </c>
      <c r="L146" s="1" t="n">
        <v>0.02871</v>
      </c>
      <c r="M146" s="1" t="n">
        <v>-0.03001</v>
      </c>
      <c r="N146" s="1" t="n">
        <v>0.5</v>
      </c>
      <c r="O146" s="6" t="n">
        <v>5.029E-006</v>
      </c>
      <c r="P146" s="1" t="n">
        <v>0.3485</v>
      </c>
      <c r="Q146" s="1" t="n">
        <v>1.131</v>
      </c>
      <c r="R146" s="1" t="n">
        <v>4.424</v>
      </c>
    </row>
    <row r="147" customFormat="false" ht="12.8" hidden="false" customHeight="false" outlineLevel="0" collapsed="false">
      <c r="A147" s="1" t="n">
        <v>22</v>
      </c>
      <c r="B147" s="4" t="s">
        <v>23</v>
      </c>
      <c r="C147" s="4" t="s">
        <v>24</v>
      </c>
      <c r="D147" s="4" t="n">
        <v>1</v>
      </c>
      <c r="E147" s="5" t="s">
        <v>26</v>
      </c>
      <c r="F147" s="1" t="s">
        <v>20</v>
      </c>
      <c r="G147" s="1" t="n">
        <v>180.4</v>
      </c>
      <c r="H147" s="1" t="n">
        <v>170.3</v>
      </c>
      <c r="I147" s="1" t="n">
        <v>25.02</v>
      </c>
      <c r="J147" s="1" t="n">
        <v>0.261</v>
      </c>
      <c r="K147" s="1" t="n">
        <v>13.07</v>
      </c>
      <c r="L147" s="1" t="n">
        <v>0.01997</v>
      </c>
      <c r="M147" s="1" t="n">
        <v>-0.03069</v>
      </c>
      <c r="N147" s="1" t="n">
        <v>0.5</v>
      </c>
      <c r="O147" s="6" t="n">
        <v>4.372E-006</v>
      </c>
      <c r="P147" s="1" t="n">
        <v>0.4356</v>
      </c>
      <c r="Q147" s="1" t="n">
        <v>1.077</v>
      </c>
      <c r="R147" s="1" t="n">
        <v>1.252</v>
      </c>
    </row>
    <row r="148" customFormat="false" ht="12.8" hidden="false" customHeight="false" outlineLevel="0" collapsed="false">
      <c r="A148" s="1" t="n">
        <v>23</v>
      </c>
      <c r="B148" s="4" t="s">
        <v>23</v>
      </c>
      <c r="C148" s="4" t="s">
        <v>24</v>
      </c>
      <c r="D148" s="4" t="n">
        <v>1</v>
      </c>
      <c r="E148" s="5" t="s">
        <v>26</v>
      </c>
      <c r="F148" s="1" t="s">
        <v>20</v>
      </c>
      <c r="G148" s="1" t="n">
        <v>188.2</v>
      </c>
      <c r="H148" s="1" t="n">
        <v>178.1</v>
      </c>
      <c r="I148" s="1" t="n">
        <v>25.01</v>
      </c>
      <c r="J148" s="1" t="n">
        <v>0.3216</v>
      </c>
      <c r="K148" s="1" t="n">
        <v>16.33</v>
      </c>
      <c r="L148" s="1" t="n">
        <v>0.01969</v>
      </c>
      <c r="M148" s="1" t="n">
        <v>-0.03014</v>
      </c>
      <c r="N148" s="1" t="n">
        <v>0.5</v>
      </c>
      <c r="O148" s="6" t="n">
        <v>5.387E-006</v>
      </c>
      <c r="P148" s="1" t="n">
        <v>0.5443</v>
      </c>
      <c r="Q148" s="1" t="n">
        <v>0.9783</v>
      </c>
      <c r="R148" s="1" t="n">
        <v>5.138</v>
      </c>
    </row>
    <row r="149" customFormat="false" ht="12.8" hidden="false" customHeight="false" outlineLevel="0" collapsed="false">
      <c r="A149" s="1" t="n">
        <v>24</v>
      </c>
      <c r="B149" s="4" t="s">
        <v>23</v>
      </c>
      <c r="C149" s="4" t="s">
        <v>24</v>
      </c>
      <c r="D149" s="4" t="n">
        <v>1</v>
      </c>
      <c r="E149" s="5" t="s">
        <v>26</v>
      </c>
      <c r="F149" s="1" t="s">
        <v>20</v>
      </c>
      <c r="G149" s="1" t="n">
        <v>195.9</v>
      </c>
      <c r="H149" s="1" t="n">
        <v>185.8</v>
      </c>
      <c r="I149" s="1" t="n">
        <v>25.01</v>
      </c>
      <c r="J149" s="1" t="n">
        <v>0.2709</v>
      </c>
      <c r="K149" s="1" t="n">
        <v>20.4</v>
      </c>
      <c r="L149" s="1" t="n">
        <v>0.01328</v>
      </c>
      <c r="M149" s="1" t="n">
        <v>-0.03078</v>
      </c>
      <c r="N149" s="1" t="n">
        <v>0.5</v>
      </c>
      <c r="O149" s="6" t="n">
        <v>4.538E-006</v>
      </c>
      <c r="P149" s="1" t="n">
        <v>0.6801</v>
      </c>
      <c r="Q149" s="1" t="n">
        <v>0.9641</v>
      </c>
      <c r="R149" s="1" t="n">
        <v>3.711</v>
      </c>
    </row>
    <row r="150" customFormat="false" ht="12.8" hidden="false" customHeight="false" outlineLevel="0" collapsed="false">
      <c r="A150" s="1" t="n">
        <v>25</v>
      </c>
      <c r="B150" s="4" t="s">
        <v>23</v>
      </c>
      <c r="C150" s="4" t="s">
        <v>24</v>
      </c>
      <c r="D150" s="4" t="n">
        <v>1</v>
      </c>
      <c r="E150" s="5" t="s">
        <v>26</v>
      </c>
      <c r="F150" s="1" t="s">
        <v>20</v>
      </c>
      <c r="G150" s="1" t="n">
        <v>203.6</v>
      </c>
      <c r="H150" s="1" t="n">
        <v>193.5</v>
      </c>
      <c r="I150" s="1" t="n">
        <v>25.01</v>
      </c>
      <c r="J150" s="1" t="n">
        <v>0.4326</v>
      </c>
      <c r="K150" s="1" t="n">
        <v>25.5</v>
      </c>
      <c r="L150" s="1" t="n">
        <v>0.01697</v>
      </c>
      <c r="M150" s="1" t="n">
        <v>-0.03073</v>
      </c>
      <c r="N150" s="1" t="n">
        <v>0.5</v>
      </c>
      <c r="O150" s="6" t="n">
        <v>7.247E-006</v>
      </c>
      <c r="P150" s="1" t="n">
        <v>0.8499</v>
      </c>
      <c r="Q150" s="1" t="n">
        <v>1.112</v>
      </c>
      <c r="R150" s="1" t="n">
        <v>3.501</v>
      </c>
    </row>
    <row r="151" customFormat="false" ht="12.8" hidden="false" customHeight="false" outlineLevel="0" collapsed="false">
      <c r="A151" s="1" t="n">
        <v>26</v>
      </c>
      <c r="B151" s="4" t="s">
        <v>23</v>
      </c>
      <c r="C151" s="4" t="s">
        <v>24</v>
      </c>
      <c r="D151" s="4" t="n">
        <v>1</v>
      </c>
      <c r="E151" s="5" t="s">
        <v>26</v>
      </c>
      <c r="F151" s="1" t="s">
        <v>20</v>
      </c>
      <c r="G151" s="1" t="n">
        <v>211.4</v>
      </c>
      <c r="H151" s="1" t="n">
        <v>201.3</v>
      </c>
      <c r="I151" s="1" t="n">
        <v>25.01</v>
      </c>
      <c r="J151" s="1" t="n">
        <v>0.3796</v>
      </c>
      <c r="K151" s="1" t="n">
        <v>31.86</v>
      </c>
      <c r="L151" s="1" t="n">
        <v>0.01192</v>
      </c>
      <c r="M151" s="1" t="n">
        <v>-0.0312</v>
      </c>
      <c r="N151" s="1" t="n">
        <v>0.5</v>
      </c>
      <c r="O151" s="6" t="n">
        <v>6.36E-006</v>
      </c>
      <c r="P151" s="1" t="n">
        <v>1.062</v>
      </c>
      <c r="Q151" s="1" t="n">
        <v>0.6781</v>
      </c>
      <c r="R151" s="1" t="n">
        <v>4.801</v>
      </c>
    </row>
    <row r="152" customFormat="false" ht="12.8" hidden="false" customHeight="false" outlineLevel="0" collapsed="false">
      <c r="A152" s="1" t="n">
        <v>27</v>
      </c>
      <c r="B152" s="4" t="s">
        <v>23</v>
      </c>
      <c r="C152" s="4" t="s">
        <v>24</v>
      </c>
      <c r="D152" s="4" t="n">
        <v>1</v>
      </c>
      <c r="E152" s="5" t="s">
        <v>26</v>
      </c>
      <c r="F152" s="1" t="s">
        <v>20</v>
      </c>
      <c r="G152" s="1" t="n">
        <v>219.1</v>
      </c>
      <c r="H152" s="1" t="n">
        <v>209</v>
      </c>
      <c r="I152" s="1" t="n">
        <v>25.01</v>
      </c>
      <c r="J152" s="1" t="n">
        <v>0.4189</v>
      </c>
      <c r="K152" s="1" t="n">
        <v>39.81</v>
      </c>
      <c r="L152" s="1" t="n">
        <v>0.01052</v>
      </c>
      <c r="M152" s="1" t="n">
        <v>-0.03196</v>
      </c>
      <c r="N152" s="1" t="n">
        <v>0.5</v>
      </c>
      <c r="O152" s="6" t="n">
        <v>7.018E-006</v>
      </c>
      <c r="P152" s="1" t="n">
        <v>1.327</v>
      </c>
      <c r="Q152" s="1" t="n">
        <v>0.9407</v>
      </c>
      <c r="R152" s="1" t="n">
        <v>1.71</v>
      </c>
    </row>
    <row r="153" customFormat="false" ht="12.8" hidden="false" customHeight="false" outlineLevel="0" collapsed="false">
      <c r="A153" s="1" t="n">
        <v>28</v>
      </c>
      <c r="B153" s="4" t="s">
        <v>23</v>
      </c>
      <c r="C153" s="4" t="s">
        <v>24</v>
      </c>
      <c r="D153" s="4" t="n">
        <v>1</v>
      </c>
      <c r="E153" s="5" t="s">
        <v>26</v>
      </c>
      <c r="F153" s="1" t="s">
        <v>20</v>
      </c>
      <c r="G153" s="1" t="n">
        <v>226.9</v>
      </c>
      <c r="H153" s="1" t="n">
        <v>216.8</v>
      </c>
      <c r="I153" s="1" t="n">
        <v>25.01</v>
      </c>
      <c r="J153" s="1" t="n">
        <v>0.4745</v>
      </c>
      <c r="K153" s="1" t="n">
        <v>49.75</v>
      </c>
      <c r="L153" s="6" t="n">
        <v>0.009538</v>
      </c>
      <c r="M153" s="1" t="n">
        <v>-0.03228</v>
      </c>
      <c r="N153" s="1" t="n">
        <v>0.5</v>
      </c>
      <c r="O153" s="6" t="n">
        <v>7.95E-006</v>
      </c>
      <c r="P153" s="1" t="n">
        <v>1.659</v>
      </c>
      <c r="Q153" s="1" t="n">
        <v>0.7916</v>
      </c>
      <c r="R153" s="1" t="n">
        <v>0.993</v>
      </c>
    </row>
    <row r="154" customFormat="false" ht="12.8" hidden="false" customHeight="false" outlineLevel="0" collapsed="false">
      <c r="A154" s="1" t="n">
        <v>29</v>
      </c>
      <c r="B154" s="4" t="s">
        <v>23</v>
      </c>
      <c r="C154" s="4" t="s">
        <v>24</v>
      </c>
      <c r="D154" s="4" t="n">
        <v>1</v>
      </c>
      <c r="E154" s="5" t="s">
        <v>26</v>
      </c>
      <c r="F154" s="1" t="s">
        <v>20</v>
      </c>
      <c r="G154" s="1" t="n">
        <v>234.6</v>
      </c>
      <c r="H154" s="1" t="n">
        <v>224.5</v>
      </c>
      <c r="I154" s="1" t="n">
        <v>25.01</v>
      </c>
      <c r="J154" s="1" t="n">
        <v>0.573</v>
      </c>
      <c r="K154" s="1" t="n">
        <v>62.17</v>
      </c>
      <c r="L154" s="6" t="n">
        <v>0.009217</v>
      </c>
      <c r="M154" s="1" t="n">
        <v>-0.03273</v>
      </c>
      <c r="N154" s="1" t="n">
        <v>0.5</v>
      </c>
      <c r="O154" s="6" t="n">
        <v>9.6E-006</v>
      </c>
      <c r="P154" s="1" t="n">
        <v>2.072</v>
      </c>
      <c r="Q154" s="1" t="n">
        <v>0.9876</v>
      </c>
      <c r="R154" s="1" t="n">
        <v>3.225</v>
      </c>
    </row>
    <row r="155" customFormat="false" ht="12.8" hidden="false" customHeight="false" outlineLevel="0" collapsed="false">
      <c r="A155" s="1" t="n">
        <v>30</v>
      </c>
      <c r="B155" s="4" t="s">
        <v>23</v>
      </c>
      <c r="C155" s="4" t="s">
        <v>24</v>
      </c>
      <c r="D155" s="4" t="n">
        <v>1</v>
      </c>
      <c r="E155" s="5" t="s">
        <v>26</v>
      </c>
      <c r="F155" s="1" t="s">
        <v>20</v>
      </c>
      <c r="G155" s="1" t="n">
        <v>242.4</v>
      </c>
      <c r="H155" s="1" t="n">
        <v>232.3</v>
      </c>
      <c r="I155" s="1" t="n">
        <v>25.01</v>
      </c>
      <c r="J155" s="1" t="n">
        <v>0.6236</v>
      </c>
      <c r="K155" s="1" t="n">
        <v>77.69</v>
      </c>
      <c r="L155" s="6" t="n">
        <v>0.008026</v>
      </c>
      <c r="M155" s="1" t="n">
        <v>-0.03263</v>
      </c>
      <c r="N155" s="1" t="n">
        <v>0.5</v>
      </c>
      <c r="O155" s="6" t="n">
        <v>1.045E-005</v>
      </c>
      <c r="P155" s="1" t="n">
        <v>2.59</v>
      </c>
      <c r="Q155" s="1" t="n">
        <v>1.24</v>
      </c>
      <c r="R155" s="1" t="n">
        <v>2.879</v>
      </c>
    </row>
    <row r="156" customFormat="false" ht="12.8" hidden="false" customHeight="false" outlineLevel="0" collapsed="false">
      <c r="A156" s="1" t="n">
        <v>31</v>
      </c>
      <c r="B156" s="4" t="s">
        <v>23</v>
      </c>
      <c r="C156" s="4" t="s">
        <v>24</v>
      </c>
      <c r="D156" s="4" t="n">
        <v>1</v>
      </c>
      <c r="E156" s="5" t="s">
        <v>26</v>
      </c>
      <c r="F156" s="1" t="s">
        <v>20</v>
      </c>
      <c r="G156" s="1" t="n">
        <v>250.1</v>
      </c>
      <c r="H156" s="1" t="n">
        <v>240</v>
      </c>
      <c r="I156" s="1" t="n">
        <v>25.01</v>
      </c>
      <c r="J156" s="1" t="n">
        <v>0.7718</v>
      </c>
      <c r="K156" s="1" t="n">
        <v>97.08</v>
      </c>
      <c r="L156" s="6" t="n">
        <v>0.00795</v>
      </c>
      <c r="M156" s="1" t="n">
        <v>-0.03318</v>
      </c>
      <c r="N156" s="1" t="n">
        <v>0.5</v>
      </c>
      <c r="O156" s="6" t="n">
        <v>1.293E-005</v>
      </c>
      <c r="P156" s="1" t="n">
        <v>3.236</v>
      </c>
      <c r="Q156" s="1" t="n">
        <v>0.7415</v>
      </c>
      <c r="R156" s="1" t="n">
        <v>0.8545</v>
      </c>
    </row>
    <row r="157" customFormat="false" ht="12.8" hidden="false" customHeight="false" outlineLevel="0" collapsed="false">
      <c r="A157" s="1" t="n">
        <v>1</v>
      </c>
      <c r="B157" s="4" t="s">
        <v>23</v>
      </c>
      <c r="C157" s="4" t="s">
        <v>24</v>
      </c>
      <c r="D157" s="4" t="n">
        <v>2</v>
      </c>
      <c r="E157" s="5" t="s">
        <v>27</v>
      </c>
      <c r="F157" s="1" t="s">
        <v>20</v>
      </c>
      <c r="G157" s="1" t="n">
        <v>15.22</v>
      </c>
      <c r="H157" s="1" t="n">
        <v>7.74</v>
      </c>
      <c r="I157" s="1" t="n">
        <v>25.07</v>
      </c>
      <c r="J157" s="1" t="n">
        <v>0.05783</v>
      </c>
      <c r="K157" s="1" t="n">
        <v>0.1213</v>
      </c>
      <c r="L157" s="1" t="n">
        <v>0.477</v>
      </c>
      <c r="M157" s="1" t="n">
        <v>-0.1468</v>
      </c>
      <c r="N157" s="1" t="n">
        <v>0.5</v>
      </c>
      <c r="O157" s="6" t="n">
        <v>9.689E-007</v>
      </c>
      <c r="P157" s="6" t="n">
        <v>0.004042</v>
      </c>
      <c r="Q157" s="1" t="n">
        <v>0.9571</v>
      </c>
      <c r="R157" s="1" t="n">
        <v>1.131</v>
      </c>
    </row>
    <row r="158" customFormat="false" ht="12.8" hidden="false" customHeight="false" outlineLevel="0" collapsed="false">
      <c r="A158" s="1" t="n">
        <v>2</v>
      </c>
      <c r="B158" s="4" t="s">
        <v>23</v>
      </c>
      <c r="C158" s="4" t="s">
        <v>24</v>
      </c>
      <c r="D158" s="4" t="n">
        <v>2</v>
      </c>
      <c r="E158" s="5" t="s">
        <v>27</v>
      </c>
      <c r="F158" s="1" t="s">
        <v>20</v>
      </c>
      <c r="G158" s="1" t="n">
        <v>22.96</v>
      </c>
      <c r="H158" s="1" t="n">
        <v>15.49</v>
      </c>
      <c r="I158" s="1" t="n">
        <v>25.08</v>
      </c>
      <c r="J158" s="1" t="n">
        <v>0.0608</v>
      </c>
      <c r="K158" s="1" t="n">
        <v>0.1515</v>
      </c>
      <c r="L158" s="1" t="n">
        <v>0.4012</v>
      </c>
      <c r="M158" s="1" t="n">
        <v>-0.1522</v>
      </c>
      <c r="N158" s="1" t="n">
        <v>0.5</v>
      </c>
      <c r="O158" s="6" t="n">
        <v>1.019E-006</v>
      </c>
      <c r="P158" s="6" t="n">
        <v>0.005052</v>
      </c>
      <c r="Q158" s="1" t="n">
        <v>0.9741</v>
      </c>
      <c r="R158" s="1" t="n">
        <v>1.167</v>
      </c>
    </row>
    <row r="159" customFormat="false" ht="12.8" hidden="false" customHeight="false" outlineLevel="0" collapsed="false">
      <c r="A159" s="1" t="n">
        <v>3</v>
      </c>
      <c r="B159" s="4" t="s">
        <v>23</v>
      </c>
      <c r="C159" s="4" t="s">
        <v>24</v>
      </c>
      <c r="D159" s="4" t="n">
        <v>2</v>
      </c>
      <c r="E159" s="5" t="s">
        <v>27</v>
      </c>
      <c r="F159" s="1" t="s">
        <v>20</v>
      </c>
      <c r="G159" s="1" t="n">
        <v>30.7</v>
      </c>
      <c r="H159" s="1" t="n">
        <v>23.22</v>
      </c>
      <c r="I159" s="1" t="n">
        <v>25.08</v>
      </c>
      <c r="J159" s="1" t="n">
        <v>0.06763</v>
      </c>
      <c r="K159" s="1" t="n">
        <v>0.1894</v>
      </c>
      <c r="L159" s="1" t="n">
        <v>0.3572</v>
      </c>
      <c r="M159" s="1" t="n">
        <v>-0.1596</v>
      </c>
      <c r="N159" s="1" t="n">
        <v>0.5</v>
      </c>
      <c r="O159" s="6" t="n">
        <v>1.133E-006</v>
      </c>
      <c r="P159" s="6" t="n">
        <v>0.006312</v>
      </c>
      <c r="Q159" s="1" t="n">
        <v>0.9873</v>
      </c>
      <c r="R159" s="1" t="n">
        <v>1.212</v>
      </c>
    </row>
    <row r="160" customFormat="false" ht="12.8" hidden="false" customHeight="false" outlineLevel="0" collapsed="false">
      <c r="A160" s="1" t="n">
        <v>4</v>
      </c>
      <c r="B160" s="4" t="s">
        <v>23</v>
      </c>
      <c r="C160" s="4" t="s">
        <v>24</v>
      </c>
      <c r="D160" s="4" t="n">
        <v>2</v>
      </c>
      <c r="E160" s="5" t="s">
        <v>27</v>
      </c>
      <c r="F160" s="1" t="s">
        <v>20</v>
      </c>
      <c r="G160" s="1" t="n">
        <v>38.45</v>
      </c>
      <c r="H160" s="1" t="n">
        <v>30.97</v>
      </c>
      <c r="I160" s="1" t="n">
        <v>25.08</v>
      </c>
      <c r="J160" s="1" t="n">
        <v>0.07342</v>
      </c>
      <c r="K160" s="1" t="n">
        <v>0.2367</v>
      </c>
      <c r="L160" s="1" t="n">
        <v>0.3103</v>
      </c>
      <c r="M160" s="1" t="n">
        <v>-0.1615</v>
      </c>
      <c r="N160" s="1" t="n">
        <v>0.5</v>
      </c>
      <c r="O160" s="6" t="n">
        <v>1.23E-006</v>
      </c>
      <c r="P160" s="6" t="n">
        <v>0.007889</v>
      </c>
      <c r="Q160" s="1" t="n">
        <v>1.114</v>
      </c>
      <c r="R160" s="1" t="n">
        <v>1.268</v>
      </c>
    </row>
    <row r="161" customFormat="false" ht="12.8" hidden="false" customHeight="false" outlineLevel="0" collapsed="false">
      <c r="A161" s="1" t="n">
        <v>5</v>
      </c>
      <c r="B161" s="4" t="s">
        <v>23</v>
      </c>
      <c r="C161" s="4" t="s">
        <v>24</v>
      </c>
      <c r="D161" s="4" t="n">
        <v>2</v>
      </c>
      <c r="E161" s="5" t="s">
        <v>27</v>
      </c>
      <c r="F161" s="1" t="s">
        <v>20</v>
      </c>
      <c r="G161" s="1" t="n">
        <v>46.19</v>
      </c>
      <c r="H161" s="1" t="n">
        <v>38.71</v>
      </c>
      <c r="I161" s="1" t="n">
        <v>25.08</v>
      </c>
      <c r="J161" s="1" t="n">
        <v>0.06931</v>
      </c>
      <c r="K161" s="1" t="n">
        <v>0.2957</v>
      </c>
      <c r="L161" s="1" t="n">
        <v>0.2344</v>
      </c>
      <c r="M161" s="1" t="n">
        <v>-0.1659</v>
      </c>
      <c r="N161" s="1" t="n">
        <v>0.5</v>
      </c>
      <c r="O161" s="6" t="n">
        <v>1.161E-006</v>
      </c>
      <c r="P161" s="6" t="n">
        <v>0.009857</v>
      </c>
      <c r="Q161" s="1" t="n">
        <v>0.9933</v>
      </c>
      <c r="R161" s="1" t="n">
        <v>1.339</v>
      </c>
    </row>
    <row r="162" customFormat="false" ht="12.8" hidden="false" customHeight="false" outlineLevel="0" collapsed="false">
      <c r="A162" s="1" t="n">
        <v>6</v>
      </c>
      <c r="B162" s="4" t="s">
        <v>23</v>
      </c>
      <c r="C162" s="4" t="s">
        <v>24</v>
      </c>
      <c r="D162" s="4" t="n">
        <v>2</v>
      </c>
      <c r="E162" s="5" t="s">
        <v>27</v>
      </c>
      <c r="F162" s="1" t="s">
        <v>20</v>
      </c>
      <c r="G162" s="1" t="n">
        <v>53.93</v>
      </c>
      <c r="H162" s="1" t="n">
        <v>46.45</v>
      </c>
      <c r="I162" s="1" t="n">
        <v>25.08</v>
      </c>
      <c r="J162" s="1" t="n">
        <v>0.06886</v>
      </c>
      <c r="K162" s="1" t="n">
        <v>0.3695</v>
      </c>
      <c r="L162" s="1" t="n">
        <v>0.1864</v>
      </c>
      <c r="M162" s="1" t="n">
        <v>-0.1699</v>
      </c>
      <c r="N162" s="1" t="n">
        <v>0.5</v>
      </c>
      <c r="O162" s="6" t="n">
        <v>1.154E-006</v>
      </c>
      <c r="P162" s="1" t="n">
        <v>0.01232</v>
      </c>
      <c r="Q162" s="1" t="n">
        <v>1.004</v>
      </c>
      <c r="R162" s="1" t="n">
        <v>1.427</v>
      </c>
    </row>
    <row r="163" customFormat="false" ht="12.8" hidden="false" customHeight="false" outlineLevel="0" collapsed="false">
      <c r="A163" s="1" t="n">
        <v>7</v>
      </c>
      <c r="B163" s="4" t="s">
        <v>23</v>
      </c>
      <c r="C163" s="4" t="s">
        <v>24</v>
      </c>
      <c r="D163" s="4" t="n">
        <v>2</v>
      </c>
      <c r="E163" s="5" t="s">
        <v>27</v>
      </c>
      <c r="F163" s="1" t="s">
        <v>20</v>
      </c>
      <c r="G163" s="1" t="n">
        <v>61.67</v>
      </c>
      <c r="H163" s="1" t="n">
        <v>54.2</v>
      </c>
      <c r="I163" s="1" t="n">
        <v>25.07</v>
      </c>
      <c r="J163" s="1" t="n">
        <v>0.07301</v>
      </c>
      <c r="K163" s="1" t="n">
        <v>0.4618</v>
      </c>
      <c r="L163" s="1" t="n">
        <v>0.1581</v>
      </c>
      <c r="M163" s="1" t="n">
        <v>-0.1708</v>
      </c>
      <c r="N163" s="1" t="n">
        <v>0.5</v>
      </c>
      <c r="O163" s="6" t="n">
        <v>1.223E-006</v>
      </c>
      <c r="P163" s="1" t="n">
        <v>0.01539</v>
      </c>
      <c r="Q163" s="1" t="n">
        <v>0.97</v>
      </c>
      <c r="R163" s="1" t="n">
        <v>1.537</v>
      </c>
    </row>
    <row r="164" customFormat="false" ht="12.8" hidden="false" customHeight="false" outlineLevel="0" collapsed="false">
      <c r="A164" s="1" t="n">
        <v>8</v>
      </c>
      <c r="B164" s="4" t="s">
        <v>23</v>
      </c>
      <c r="C164" s="4" t="s">
        <v>24</v>
      </c>
      <c r="D164" s="4" t="n">
        <v>2</v>
      </c>
      <c r="E164" s="5" t="s">
        <v>27</v>
      </c>
      <c r="F164" s="1" t="s">
        <v>20</v>
      </c>
      <c r="G164" s="1" t="n">
        <v>69.41</v>
      </c>
      <c r="H164" s="1" t="n">
        <v>61.94</v>
      </c>
      <c r="I164" s="1" t="n">
        <v>25.06</v>
      </c>
      <c r="J164" s="1" t="n">
        <v>0.06834</v>
      </c>
      <c r="K164" s="1" t="n">
        <v>0.577</v>
      </c>
      <c r="L164" s="1" t="n">
        <v>0.1184</v>
      </c>
      <c r="M164" s="1" t="n">
        <v>-0.1664</v>
      </c>
      <c r="N164" s="1" t="n">
        <v>0.5</v>
      </c>
      <c r="O164" s="6" t="n">
        <v>1.145E-006</v>
      </c>
      <c r="P164" s="1" t="n">
        <v>0.01923</v>
      </c>
      <c r="Q164" s="1" t="n">
        <v>1.046</v>
      </c>
      <c r="R164" s="1" t="n">
        <v>1.674</v>
      </c>
    </row>
    <row r="165" customFormat="false" ht="12.8" hidden="false" customHeight="false" outlineLevel="0" collapsed="false">
      <c r="A165" s="1" t="n">
        <v>9</v>
      </c>
      <c r="B165" s="4" t="s">
        <v>23</v>
      </c>
      <c r="C165" s="4" t="s">
        <v>24</v>
      </c>
      <c r="D165" s="4" t="n">
        <v>2</v>
      </c>
      <c r="E165" s="5" t="s">
        <v>27</v>
      </c>
      <c r="F165" s="1" t="s">
        <v>20</v>
      </c>
      <c r="G165" s="1" t="n">
        <v>77.15</v>
      </c>
      <c r="H165" s="1" t="n">
        <v>69.68</v>
      </c>
      <c r="I165" s="1" t="n">
        <v>25.06</v>
      </c>
      <c r="J165" s="1" t="n">
        <v>0.07088</v>
      </c>
      <c r="K165" s="1" t="n">
        <v>0.721</v>
      </c>
      <c r="L165" s="1" t="n">
        <v>0.0983</v>
      </c>
      <c r="M165" s="1" t="n">
        <v>-0.1307</v>
      </c>
      <c r="N165" s="1" t="n">
        <v>0.5</v>
      </c>
      <c r="O165" s="6" t="n">
        <v>1.187E-006</v>
      </c>
      <c r="P165" s="1" t="n">
        <v>0.02403</v>
      </c>
      <c r="Q165" s="1" t="n">
        <v>0.8454</v>
      </c>
      <c r="R165" s="1" t="n">
        <v>1.846</v>
      </c>
    </row>
    <row r="166" customFormat="false" ht="12.8" hidden="false" customHeight="false" outlineLevel="0" collapsed="false">
      <c r="A166" s="1" t="n">
        <v>10</v>
      </c>
      <c r="B166" s="4" t="s">
        <v>23</v>
      </c>
      <c r="C166" s="4" t="s">
        <v>24</v>
      </c>
      <c r="D166" s="4" t="n">
        <v>2</v>
      </c>
      <c r="E166" s="5" t="s">
        <v>27</v>
      </c>
      <c r="F166" s="1" t="s">
        <v>20</v>
      </c>
      <c r="G166" s="1" t="n">
        <v>84.9</v>
      </c>
      <c r="H166" s="1" t="n">
        <v>77.42</v>
      </c>
      <c r="I166" s="1" t="n">
        <v>25.05</v>
      </c>
      <c r="J166" s="1" t="n">
        <v>0.07458</v>
      </c>
      <c r="K166" s="1" t="n">
        <v>0.9011</v>
      </c>
      <c r="L166" s="1" t="n">
        <v>0.08276</v>
      </c>
      <c r="M166" s="1" t="n">
        <v>-0.09149</v>
      </c>
      <c r="N166" s="1" t="n">
        <v>0.5</v>
      </c>
      <c r="O166" s="6" t="n">
        <v>1.249E-006</v>
      </c>
      <c r="P166" s="1" t="n">
        <v>0.03004</v>
      </c>
      <c r="Q166" s="1" t="n">
        <v>0.9303</v>
      </c>
      <c r="R166" s="1" t="n">
        <v>2.06</v>
      </c>
    </row>
    <row r="167" customFormat="false" ht="12.8" hidden="false" customHeight="false" outlineLevel="0" collapsed="false">
      <c r="A167" s="1" t="n">
        <v>11</v>
      </c>
      <c r="B167" s="4" t="s">
        <v>23</v>
      </c>
      <c r="C167" s="4" t="s">
        <v>24</v>
      </c>
      <c r="D167" s="4" t="n">
        <v>2</v>
      </c>
      <c r="E167" s="5" t="s">
        <v>27</v>
      </c>
      <c r="F167" s="1" t="s">
        <v>20</v>
      </c>
      <c r="G167" s="1" t="n">
        <v>92.64</v>
      </c>
      <c r="H167" s="1" t="n">
        <v>85.16</v>
      </c>
      <c r="I167" s="1" t="n">
        <v>25.05</v>
      </c>
      <c r="J167" s="1" t="n">
        <v>0.0797</v>
      </c>
      <c r="K167" s="1" t="n">
        <v>1.126</v>
      </c>
      <c r="L167" s="1" t="n">
        <v>0.07079</v>
      </c>
      <c r="M167" s="1" t="n">
        <v>-0.06912</v>
      </c>
      <c r="N167" s="1" t="n">
        <v>0.5</v>
      </c>
      <c r="O167" s="6" t="n">
        <v>1.335E-006</v>
      </c>
      <c r="P167" s="1" t="n">
        <v>0.03753</v>
      </c>
      <c r="Q167" s="1" t="n">
        <v>0.9551</v>
      </c>
      <c r="R167" s="1" t="n">
        <v>2.328</v>
      </c>
    </row>
    <row r="168" customFormat="false" ht="12.8" hidden="false" customHeight="false" outlineLevel="0" collapsed="false">
      <c r="A168" s="1" t="n">
        <v>12</v>
      </c>
      <c r="B168" s="4" t="s">
        <v>23</v>
      </c>
      <c r="C168" s="4" t="s">
        <v>24</v>
      </c>
      <c r="D168" s="4" t="n">
        <v>2</v>
      </c>
      <c r="E168" s="5" t="s">
        <v>27</v>
      </c>
      <c r="F168" s="1" t="s">
        <v>20</v>
      </c>
      <c r="G168" s="1" t="n">
        <v>100.4</v>
      </c>
      <c r="H168" s="1" t="n">
        <v>92.91</v>
      </c>
      <c r="I168" s="1" t="n">
        <v>25.05</v>
      </c>
      <c r="J168" s="1" t="n">
        <v>0.07589</v>
      </c>
      <c r="K168" s="1" t="n">
        <v>1.407</v>
      </c>
      <c r="L168" s="1" t="n">
        <v>0.05394</v>
      </c>
      <c r="M168" s="1" t="n">
        <v>-0.06109</v>
      </c>
      <c r="N168" s="1" t="n">
        <v>0.5</v>
      </c>
      <c r="O168" s="6" t="n">
        <v>1.271E-006</v>
      </c>
      <c r="P168" s="1" t="n">
        <v>0.04691</v>
      </c>
      <c r="Q168" s="1" t="n">
        <v>1.063</v>
      </c>
      <c r="R168" s="1" t="n">
        <v>2.663</v>
      </c>
    </row>
    <row r="169" customFormat="false" ht="12.8" hidden="false" customHeight="false" outlineLevel="0" collapsed="false">
      <c r="A169" s="1" t="n">
        <v>13</v>
      </c>
      <c r="B169" s="4" t="s">
        <v>23</v>
      </c>
      <c r="C169" s="4" t="s">
        <v>24</v>
      </c>
      <c r="D169" s="4" t="n">
        <v>2</v>
      </c>
      <c r="E169" s="5" t="s">
        <v>27</v>
      </c>
      <c r="F169" s="1" t="s">
        <v>20</v>
      </c>
      <c r="G169" s="1" t="n">
        <v>108.1</v>
      </c>
      <c r="H169" s="1" t="n">
        <v>100.6</v>
      </c>
      <c r="I169" s="1" t="n">
        <v>25.04</v>
      </c>
      <c r="J169" s="1" t="n">
        <v>0.07058</v>
      </c>
      <c r="K169" s="1" t="n">
        <v>1.758</v>
      </c>
      <c r="L169" s="1" t="n">
        <v>0.04014</v>
      </c>
      <c r="M169" s="1" t="n">
        <v>-0.05786</v>
      </c>
      <c r="N169" s="1" t="n">
        <v>0.5</v>
      </c>
      <c r="O169" s="6" t="n">
        <v>1.182E-006</v>
      </c>
      <c r="P169" s="1" t="n">
        <v>0.05861</v>
      </c>
      <c r="Q169" s="1" t="n">
        <v>1.074</v>
      </c>
      <c r="R169" s="1" t="n">
        <v>3.082</v>
      </c>
    </row>
    <row r="170" customFormat="false" ht="12.8" hidden="false" customHeight="false" outlineLevel="0" collapsed="false">
      <c r="A170" s="1" t="n">
        <v>14</v>
      </c>
      <c r="B170" s="4" t="s">
        <v>23</v>
      </c>
      <c r="C170" s="4" t="s">
        <v>24</v>
      </c>
      <c r="D170" s="4" t="n">
        <v>2</v>
      </c>
      <c r="E170" s="5" t="s">
        <v>27</v>
      </c>
      <c r="F170" s="1" t="s">
        <v>20</v>
      </c>
      <c r="G170" s="1" t="n">
        <v>115.9</v>
      </c>
      <c r="H170" s="1" t="n">
        <v>108.4</v>
      </c>
      <c r="I170" s="1" t="n">
        <v>25.04</v>
      </c>
      <c r="J170" s="1" t="n">
        <v>0.08516</v>
      </c>
      <c r="K170" s="1" t="n">
        <v>2.197</v>
      </c>
      <c r="L170" s="1" t="n">
        <v>0.03876</v>
      </c>
      <c r="M170" s="1" t="n">
        <v>-0.05504</v>
      </c>
      <c r="N170" s="1" t="n">
        <v>0.5</v>
      </c>
      <c r="O170" s="6" t="n">
        <v>1.427E-006</v>
      </c>
      <c r="P170" s="1" t="n">
        <v>0.07324</v>
      </c>
      <c r="Q170" s="1" t="n">
        <v>0.9827</v>
      </c>
      <c r="R170" s="1" t="n">
        <v>3.605</v>
      </c>
    </row>
    <row r="171" customFormat="false" ht="12.8" hidden="false" customHeight="false" outlineLevel="0" collapsed="false">
      <c r="A171" s="1" t="n">
        <v>15</v>
      </c>
      <c r="B171" s="4" t="s">
        <v>23</v>
      </c>
      <c r="C171" s="4" t="s">
        <v>24</v>
      </c>
      <c r="D171" s="4" t="n">
        <v>2</v>
      </c>
      <c r="E171" s="5" t="s">
        <v>27</v>
      </c>
      <c r="F171" s="1" t="s">
        <v>20</v>
      </c>
      <c r="G171" s="1" t="n">
        <v>123.6</v>
      </c>
      <c r="H171" s="1" t="n">
        <v>116.1</v>
      </c>
      <c r="I171" s="1" t="n">
        <v>25.03</v>
      </c>
      <c r="J171" s="1" t="n">
        <v>0.136</v>
      </c>
      <c r="K171" s="1" t="n">
        <v>2.746</v>
      </c>
      <c r="L171" s="1" t="n">
        <v>0.04954</v>
      </c>
      <c r="M171" s="1" t="n">
        <v>-0.0534</v>
      </c>
      <c r="N171" s="1" t="n">
        <v>0.5</v>
      </c>
      <c r="O171" s="6" t="n">
        <v>2.279E-006</v>
      </c>
      <c r="P171" s="1" t="n">
        <v>0.09153</v>
      </c>
      <c r="Q171" s="1" t="n">
        <v>0.6147</v>
      </c>
      <c r="R171" s="1" t="n">
        <v>4.259</v>
      </c>
    </row>
    <row r="172" customFormat="false" ht="12.8" hidden="false" customHeight="false" outlineLevel="0" collapsed="false">
      <c r="A172" s="1" t="n">
        <v>16</v>
      </c>
      <c r="B172" s="4" t="s">
        <v>23</v>
      </c>
      <c r="C172" s="4" t="s">
        <v>24</v>
      </c>
      <c r="D172" s="4" t="n">
        <v>2</v>
      </c>
      <c r="E172" s="5" t="s">
        <v>27</v>
      </c>
      <c r="F172" s="1" t="s">
        <v>20</v>
      </c>
      <c r="G172" s="1" t="n">
        <v>131.3</v>
      </c>
      <c r="H172" s="1" t="n">
        <v>123.9</v>
      </c>
      <c r="I172" s="1" t="n">
        <v>25.03</v>
      </c>
      <c r="J172" s="1" t="n">
        <v>0.2113</v>
      </c>
      <c r="K172" s="1" t="n">
        <v>3.431</v>
      </c>
      <c r="L172" s="1" t="n">
        <v>0.0616</v>
      </c>
      <c r="M172" s="1" t="n">
        <v>-0.05129</v>
      </c>
      <c r="N172" s="1" t="n">
        <v>0.5</v>
      </c>
      <c r="O172" s="6" t="n">
        <v>3.54E-006</v>
      </c>
      <c r="P172" s="1" t="n">
        <v>0.1144</v>
      </c>
      <c r="Q172" s="1" t="n">
        <v>1.291</v>
      </c>
      <c r="R172" s="1" t="n">
        <v>5.076</v>
      </c>
    </row>
    <row r="173" customFormat="false" ht="12.8" hidden="false" customHeight="false" outlineLevel="0" collapsed="false">
      <c r="A173" s="1" t="n">
        <v>17</v>
      </c>
      <c r="B173" s="4" t="s">
        <v>23</v>
      </c>
      <c r="C173" s="4" t="s">
        <v>24</v>
      </c>
      <c r="D173" s="4" t="n">
        <v>2</v>
      </c>
      <c r="E173" s="5" t="s">
        <v>27</v>
      </c>
      <c r="F173" s="1" t="s">
        <v>20</v>
      </c>
      <c r="G173" s="1" t="n">
        <v>139.1</v>
      </c>
      <c r="H173" s="1" t="n">
        <v>131.6</v>
      </c>
      <c r="I173" s="1" t="n">
        <v>25.03</v>
      </c>
      <c r="J173" s="1" t="n">
        <v>0.2083</v>
      </c>
      <c r="K173" s="1" t="n">
        <v>4.288</v>
      </c>
      <c r="L173" s="1" t="n">
        <v>0.04857</v>
      </c>
      <c r="M173" s="1" t="n">
        <v>-0.0498</v>
      </c>
      <c r="N173" s="1" t="n">
        <v>0.5</v>
      </c>
      <c r="O173" s="6" t="n">
        <v>3.489E-006</v>
      </c>
      <c r="P173" s="1" t="n">
        <v>0.1429</v>
      </c>
      <c r="Q173" s="1" t="n">
        <v>1.133</v>
      </c>
      <c r="R173" s="1" t="n">
        <v>6.097</v>
      </c>
    </row>
    <row r="174" customFormat="false" ht="12.8" hidden="false" customHeight="false" outlineLevel="0" collapsed="false">
      <c r="A174" s="1" t="n">
        <v>18</v>
      </c>
      <c r="B174" s="4" t="s">
        <v>23</v>
      </c>
      <c r="C174" s="4" t="s">
        <v>24</v>
      </c>
      <c r="D174" s="4" t="n">
        <v>2</v>
      </c>
      <c r="E174" s="5" t="s">
        <v>27</v>
      </c>
      <c r="F174" s="1" t="s">
        <v>20</v>
      </c>
      <c r="G174" s="1" t="n">
        <v>146.8</v>
      </c>
      <c r="H174" s="1" t="n">
        <v>139.4</v>
      </c>
      <c r="I174" s="1" t="n">
        <v>25.03</v>
      </c>
      <c r="J174" s="1" t="n">
        <v>0.2231</v>
      </c>
      <c r="K174" s="1" t="n">
        <v>5.358</v>
      </c>
      <c r="L174" s="1" t="n">
        <v>0.04165</v>
      </c>
      <c r="M174" s="1" t="n">
        <v>-0.04899</v>
      </c>
      <c r="N174" s="1" t="n">
        <v>0.5</v>
      </c>
      <c r="O174" s="6" t="n">
        <v>3.738E-006</v>
      </c>
      <c r="P174" s="1" t="n">
        <v>0.1786</v>
      </c>
      <c r="Q174" s="1" t="n">
        <v>2.181</v>
      </c>
      <c r="R174" s="1" t="n">
        <v>1.089</v>
      </c>
    </row>
    <row r="175" customFormat="false" ht="12.8" hidden="false" customHeight="false" outlineLevel="0" collapsed="false">
      <c r="A175" s="1" t="n">
        <v>19</v>
      </c>
      <c r="B175" s="4" t="s">
        <v>23</v>
      </c>
      <c r="C175" s="4" t="s">
        <v>24</v>
      </c>
      <c r="D175" s="4" t="n">
        <v>2</v>
      </c>
      <c r="E175" s="5" t="s">
        <v>27</v>
      </c>
      <c r="F175" s="1" t="s">
        <v>20</v>
      </c>
      <c r="G175" s="1" t="n">
        <v>154.6</v>
      </c>
      <c r="H175" s="1" t="n">
        <v>147.1</v>
      </c>
      <c r="I175" s="1" t="n">
        <v>25.02</v>
      </c>
      <c r="J175" s="1" t="n">
        <v>0.1445</v>
      </c>
      <c r="K175" s="1" t="n">
        <v>6.695</v>
      </c>
      <c r="L175" s="1" t="n">
        <v>0.02158</v>
      </c>
      <c r="M175" s="1" t="n">
        <v>-0.04868</v>
      </c>
      <c r="N175" s="1" t="n">
        <v>0.5</v>
      </c>
      <c r="O175" s="6" t="n">
        <v>2.421E-006</v>
      </c>
      <c r="P175" s="1" t="n">
        <v>0.2232</v>
      </c>
      <c r="Q175" s="1" t="n">
        <v>0.4273</v>
      </c>
      <c r="R175" s="1" t="n">
        <v>2.683</v>
      </c>
    </row>
    <row r="176" customFormat="false" ht="12.8" hidden="false" customHeight="false" outlineLevel="0" collapsed="false">
      <c r="A176" s="1" t="n">
        <v>20</v>
      </c>
      <c r="B176" s="4" t="s">
        <v>23</v>
      </c>
      <c r="C176" s="4" t="s">
        <v>24</v>
      </c>
      <c r="D176" s="4" t="n">
        <v>2</v>
      </c>
      <c r="E176" s="5" t="s">
        <v>27</v>
      </c>
      <c r="F176" s="1" t="s">
        <v>20</v>
      </c>
      <c r="G176" s="1" t="n">
        <v>162.3</v>
      </c>
      <c r="H176" s="1" t="n">
        <v>154.8</v>
      </c>
      <c r="I176" s="1" t="n">
        <v>25.02</v>
      </c>
      <c r="J176" s="1" t="n">
        <v>0.1599</v>
      </c>
      <c r="K176" s="1" t="n">
        <v>8.367</v>
      </c>
      <c r="L176" s="1" t="n">
        <v>0.01911</v>
      </c>
      <c r="M176" s="1" t="n">
        <v>-0.04759</v>
      </c>
      <c r="N176" s="1" t="n">
        <v>0.5</v>
      </c>
      <c r="O176" s="6" t="n">
        <v>2.678E-006</v>
      </c>
      <c r="P176" s="1" t="n">
        <v>0.2789</v>
      </c>
      <c r="Q176" s="1" t="n">
        <v>0.6567</v>
      </c>
      <c r="R176" s="1" t="n">
        <v>4.675</v>
      </c>
    </row>
    <row r="177" customFormat="false" ht="12.8" hidden="false" customHeight="false" outlineLevel="0" collapsed="false">
      <c r="A177" s="1" t="n">
        <v>21</v>
      </c>
      <c r="B177" s="4" t="s">
        <v>23</v>
      </c>
      <c r="C177" s="4" t="s">
        <v>24</v>
      </c>
      <c r="D177" s="4" t="n">
        <v>2</v>
      </c>
      <c r="E177" s="5" t="s">
        <v>27</v>
      </c>
      <c r="F177" s="1" t="s">
        <v>20</v>
      </c>
      <c r="G177" s="1" t="n">
        <v>170.1</v>
      </c>
      <c r="H177" s="1" t="n">
        <v>162.6</v>
      </c>
      <c r="I177" s="1" t="n">
        <v>25.02</v>
      </c>
      <c r="J177" s="1" t="n">
        <v>0.3217</v>
      </c>
      <c r="K177" s="1" t="n">
        <v>10.46</v>
      </c>
      <c r="L177" s="1" t="n">
        <v>0.03077</v>
      </c>
      <c r="M177" s="1" t="n">
        <v>-0.04694</v>
      </c>
      <c r="N177" s="1" t="n">
        <v>0.5</v>
      </c>
      <c r="O177" s="6" t="n">
        <v>5.389E-006</v>
      </c>
      <c r="P177" s="1" t="n">
        <v>0.3485</v>
      </c>
      <c r="Q177" s="1" t="n">
        <v>0.8957</v>
      </c>
      <c r="R177" s="1" t="n">
        <v>0.8807</v>
      </c>
    </row>
    <row r="178" customFormat="false" ht="12.8" hidden="false" customHeight="false" outlineLevel="0" collapsed="false">
      <c r="A178" s="1" t="n">
        <v>22</v>
      </c>
      <c r="B178" s="4" t="s">
        <v>23</v>
      </c>
      <c r="C178" s="4" t="s">
        <v>24</v>
      </c>
      <c r="D178" s="4" t="n">
        <v>2</v>
      </c>
      <c r="E178" s="5" t="s">
        <v>27</v>
      </c>
      <c r="F178" s="1" t="s">
        <v>20</v>
      </c>
      <c r="G178" s="1" t="n">
        <v>177.8</v>
      </c>
      <c r="H178" s="1" t="n">
        <v>170.3</v>
      </c>
      <c r="I178" s="1" t="n">
        <v>25.02</v>
      </c>
      <c r="J178" s="1" t="n">
        <v>0.185</v>
      </c>
      <c r="K178" s="1" t="n">
        <v>13.07</v>
      </c>
      <c r="L178" s="1" t="n">
        <v>0.01416</v>
      </c>
      <c r="M178" s="1" t="n">
        <v>-0.04578</v>
      </c>
      <c r="N178" s="1" t="n">
        <v>0.5</v>
      </c>
      <c r="O178" s="6" t="n">
        <v>3.1E-006</v>
      </c>
      <c r="P178" s="1" t="n">
        <v>0.4356</v>
      </c>
      <c r="Q178" s="1" t="n">
        <v>1.017</v>
      </c>
      <c r="R178" s="1" t="n">
        <v>3.993</v>
      </c>
    </row>
    <row r="179" customFormat="false" ht="12.8" hidden="false" customHeight="false" outlineLevel="0" collapsed="false">
      <c r="A179" s="1" t="n">
        <v>23</v>
      </c>
      <c r="B179" s="4" t="s">
        <v>23</v>
      </c>
      <c r="C179" s="4" t="s">
        <v>24</v>
      </c>
      <c r="D179" s="4" t="n">
        <v>2</v>
      </c>
      <c r="E179" s="5" t="s">
        <v>27</v>
      </c>
      <c r="F179" s="1" t="s">
        <v>20</v>
      </c>
      <c r="G179" s="1" t="n">
        <v>185.5</v>
      </c>
      <c r="H179" s="1" t="n">
        <v>178.1</v>
      </c>
      <c r="I179" s="1" t="n">
        <v>25.02</v>
      </c>
      <c r="J179" s="1" t="n">
        <v>0.1797</v>
      </c>
      <c r="K179" s="1" t="n">
        <v>16.33</v>
      </c>
      <c r="L179" s="1" t="n">
        <v>0.01101</v>
      </c>
      <c r="M179" s="1" t="n">
        <v>-0.04563</v>
      </c>
      <c r="N179" s="1" t="n">
        <v>0.5</v>
      </c>
      <c r="O179" s="6" t="n">
        <v>3.011E-006</v>
      </c>
      <c r="P179" s="1" t="n">
        <v>0.5443</v>
      </c>
      <c r="Q179" s="1" t="n">
        <v>1.038</v>
      </c>
      <c r="R179" s="1" t="n">
        <v>1.596</v>
      </c>
    </row>
    <row r="180" customFormat="false" ht="12.8" hidden="false" customHeight="false" outlineLevel="0" collapsed="false">
      <c r="A180" s="1" t="n">
        <v>24</v>
      </c>
      <c r="B180" s="4" t="s">
        <v>23</v>
      </c>
      <c r="C180" s="4" t="s">
        <v>24</v>
      </c>
      <c r="D180" s="4" t="n">
        <v>2</v>
      </c>
      <c r="E180" s="5" t="s">
        <v>27</v>
      </c>
      <c r="F180" s="1" t="s">
        <v>20</v>
      </c>
      <c r="G180" s="1" t="n">
        <v>193.3</v>
      </c>
      <c r="H180" s="1" t="n">
        <v>185.8</v>
      </c>
      <c r="I180" s="1" t="n">
        <v>25.01</v>
      </c>
      <c r="J180" s="1" t="n">
        <v>0.1439</v>
      </c>
      <c r="K180" s="1" t="n">
        <v>20.4</v>
      </c>
      <c r="L180" s="6" t="n">
        <v>0.007053</v>
      </c>
      <c r="M180" s="1" t="n">
        <v>-0.04597</v>
      </c>
      <c r="N180" s="1" t="n">
        <v>0.5</v>
      </c>
      <c r="O180" s="6" t="n">
        <v>2.411E-006</v>
      </c>
      <c r="P180" s="1" t="n">
        <v>0.6801</v>
      </c>
      <c r="Q180" s="1" t="n">
        <v>1.09</v>
      </c>
      <c r="R180" s="1" t="n">
        <v>0.1686</v>
      </c>
    </row>
    <row r="181" customFormat="false" ht="12.8" hidden="false" customHeight="false" outlineLevel="0" collapsed="false">
      <c r="A181" s="1" t="n">
        <v>25</v>
      </c>
      <c r="B181" s="4" t="s">
        <v>23</v>
      </c>
      <c r="C181" s="4" t="s">
        <v>24</v>
      </c>
      <c r="D181" s="4" t="n">
        <v>2</v>
      </c>
      <c r="E181" s="5" t="s">
        <v>27</v>
      </c>
      <c r="F181" s="1" t="s">
        <v>20</v>
      </c>
      <c r="G181" s="1" t="n">
        <v>201</v>
      </c>
      <c r="H181" s="1" t="n">
        <v>193.5</v>
      </c>
      <c r="I181" s="1" t="n">
        <v>25.01</v>
      </c>
      <c r="J181" s="1" t="n">
        <v>0.1943</v>
      </c>
      <c r="K181" s="1" t="n">
        <v>25.5</v>
      </c>
      <c r="L181" s="6" t="n">
        <v>0.007622</v>
      </c>
      <c r="M181" s="1" t="n">
        <v>-0.04597</v>
      </c>
      <c r="N181" s="1" t="n">
        <v>0.5</v>
      </c>
      <c r="O181" s="6" t="n">
        <v>3.256E-006</v>
      </c>
      <c r="P181" s="1" t="n">
        <v>0.8499</v>
      </c>
      <c r="Q181" s="1" t="n">
        <v>0.9841</v>
      </c>
      <c r="R181" s="1" t="n">
        <v>6.241</v>
      </c>
    </row>
    <row r="182" customFormat="false" ht="12.8" hidden="false" customHeight="false" outlineLevel="0" collapsed="false">
      <c r="A182" s="1" t="n">
        <v>26</v>
      </c>
      <c r="B182" s="4" t="s">
        <v>23</v>
      </c>
      <c r="C182" s="4" t="s">
        <v>24</v>
      </c>
      <c r="D182" s="4" t="n">
        <v>2</v>
      </c>
      <c r="E182" s="5" t="s">
        <v>27</v>
      </c>
      <c r="F182" s="1" t="s">
        <v>20</v>
      </c>
      <c r="G182" s="1" t="n">
        <v>208.8</v>
      </c>
      <c r="H182" s="1" t="n">
        <v>201.3</v>
      </c>
      <c r="I182" s="1" t="n">
        <v>25.02</v>
      </c>
      <c r="J182" s="1" t="n">
        <v>0.2723</v>
      </c>
      <c r="K182" s="1" t="n">
        <v>31.86</v>
      </c>
      <c r="L182" s="6" t="n">
        <v>0.008548</v>
      </c>
      <c r="M182" s="1" t="n">
        <v>-0.04444</v>
      </c>
      <c r="N182" s="1" t="n">
        <v>0.5</v>
      </c>
      <c r="O182" s="6" t="n">
        <v>4.562E-006</v>
      </c>
      <c r="P182" s="1" t="n">
        <v>1.062</v>
      </c>
      <c r="Q182" s="1" t="n">
        <v>1.183</v>
      </c>
      <c r="R182" s="1" t="n">
        <v>1.258</v>
      </c>
    </row>
    <row r="183" customFormat="false" ht="12.8" hidden="false" customHeight="false" outlineLevel="0" collapsed="false">
      <c r="A183" s="1" t="n">
        <v>27</v>
      </c>
      <c r="B183" s="4" t="s">
        <v>23</v>
      </c>
      <c r="C183" s="4" t="s">
        <v>24</v>
      </c>
      <c r="D183" s="4" t="n">
        <v>2</v>
      </c>
      <c r="E183" s="5" t="s">
        <v>27</v>
      </c>
      <c r="F183" s="1" t="s">
        <v>20</v>
      </c>
      <c r="G183" s="1" t="n">
        <v>216.5</v>
      </c>
      <c r="H183" s="1" t="n">
        <v>209</v>
      </c>
      <c r="I183" s="1" t="n">
        <v>25.02</v>
      </c>
      <c r="J183" s="1" t="n">
        <v>0.3322</v>
      </c>
      <c r="K183" s="1" t="n">
        <v>39.81</v>
      </c>
      <c r="L183" s="6" t="n">
        <v>0.008343</v>
      </c>
      <c r="M183" s="1" t="n">
        <v>-0.04487</v>
      </c>
      <c r="N183" s="1" t="n">
        <v>0.5</v>
      </c>
      <c r="O183" s="6" t="n">
        <v>5.565E-006</v>
      </c>
      <c r="P183" s="1" t="n">
        <v>1.327</v>
      </c>
      <c r="Q183" s="1" t="n">
        <v>1.012</v>
      </c>
      <c r="R183" s="1" t="n">
        <v>4.451</v>
      </c>
    </row>
    <row r="184" customFormat="false" ht="12.8" hidden="false" customHeight="false" outlineLevel="0" collapsed="false">
      <c r="A184" s="1" t="n">
        <v>28</v>
      </c>
      <c r="B184" s="4" t="s">
        <v>23</v>
      </c>
      <c r="C184" s="4" t="s">
        <v>24</v>
      </c>
      <c r="D184" s="4" t="n">
        <v>2</v>
      </c>
      <c r="E184" s="5" t="s">
        <v>27</v>
      </c>
      <c r="F184" s="1" t="s">
        <v>20</v>
      </c>
      <c r="G184" s="1" t="n">
        <v>224.3</v>
      </c>
      <c r="H184" s="1" t="n">
        <v>216.8</v>
      </c>
      <c r="I184" s="1" t="n">
        <v>25.01</v>
      </c>
      <c r="J184" s="1" t="n">
        <v>0.3698</v>
      </c>
      <c r="K184" s="1" t="n">
        <v>49.75</v>
      </c>
      <c r="L184" s="6" t="n">
        <v>0.007433</v>
      </c>
      <c r="M184" s="1" t="n">
        <v>-0.04449</v>
      </c>
      <c r="N184" s="1" t="n">
        <v>0.5</v>
      </c>
      <c r="O184" s="6" t="n">
        <v>6.195E-006</v>
      </c>
      <c r="P184" s="1" t="n">
        <v>1.659</v>
      </c>
      <c r="Q184" s="1" t="n">
        <v>1.174</v>
      </c>
      <c r="R184" s="1" t="n">
        <v>3.734</v>
      </c>
    </row>
    <row r="185" customFormat="false" ht="12.8" hidden="false" customHeight="false" outlineLevel="0" collapsed="false">
      <c r="A185" s="1" t="n">
        <v>29</v>
      </c>
      <c r="B185" s="4" t="s">
        <v>23</v>
      </c>
      <c r="C185" s="4" t="s">
        <v>24</v>
      </c>
      <c r="D185" s="4" t="n">
        <v>2</v>
      </c>
      <c r="E185" s="5" t="s">
        <v>27</v>
      </c>
      <c r="F185" s="1" t="s">
        <v>20</v>
      </c>
      <c r="G185" s="1" t="n">
        <v>232</v>
      </c>
      <c r="H185" s="1" t="n">
        <v>224.5</v>
      </c>
      <c r="I185" s="1" t="n">
        <v>25.01</v>
      </c>
      <c r="J185" s="1" t="n">
        <v>0.4678</v>
      </c>
      <c r="K185" s="1" t="n">
        <v>62.17</v>
      </c>
      <c r="L185" s="6" t="n">
        <v>0.007525</v>
      </c>
      <c r="M185" s="1" t="n">
        <v>-0.04438</v>
      </c>
      <c r="N185" s="1" t="n">
        <v>0.5</v>
      </c>
      <c r="O185" s="6" t="n">
        <v>7.837E-006</v>
      </c>
      <c r="P185" s="1" t="n">
        <v>2.072</v>
      </c>
      <c r="Q185" s="1" t="n">
        <v>0.4798</v>
      </c>
      <c r="R185" s="1" t="n">
        <v>5.965</v>
      </c>
    </row>
    <row r="186" customFormat="false" ht="12.8" hidden="false" customHeight="false" outlineLevel="0" collapsed="false">
      <c r="A186" s="1" t="n">
        <v>30</v>
      </c>
      <c r="B186" s="4" t="s">
        <v>23</v>
      </c>
      <c r="C186" s="4" t="s">
        <v>24</v>
      </c>
      <c r="D186" s="4" t="n">
        <v>2</v>
      </c>
      <c r="E186" s="5" t="s">
        <v>27</v>
      </c>
      <c r="F186" s="1" t="s">
        <v>20</v>
      </c>
      <c r="G186" s="1" t="n">
        <v>239.7</v>
      </c>
      <c r="H186" s="1" t="n">
        <v>232.3</v>
      </c>
      <c r="I186" s="1" t="n">
        <v>25.01</v>
      </c>
      <c r="J186" s="1" t="n">
        <v>0.5394</v>
      </c>
      <c r="K186" s="1" t="n">
        <v>77.7</v>
      </c>
      <c r="L186" s="6" t="n">
        <v>0.006943</v>
      </c>
      <c r="M186" s="1" t="n">
        <v>-0.04386</v>
      </c>
      <c r="N186" s="1" t="n">
        <v>0.5</v>
      </c>
      <c r="O186" s="6" t="n">
        <v>9.037E-006</v>
      </c>
      <c r="P186" s="1" t="n">
        <v>2.59</v>
      </c>
      <c r="Q186" s="1" t="n">
        <v>1.084</v>
      </c>
      <c r="R186" s="1" t="n">
        <v>5.619</v>
      </c>
    </row>
    <row r="187" customFormat="false" ht="12.8" hidden="false" customHeight="false" outlineLevel="0" collapsed="false">
      <c r="A187" s="1" t="n">
        <v>31</v>
      </c>
      <c r="B187" s="4" t="s">
        <v>23</v>
      </c>
      <c r="C187" s="4" t="s">
        <v>24</v>
      </c>
      <c r="D187" s="4" t="n">
        <v>2</v>
      </c>
      <c r="E187" s="5" t="s">
        <v>27</v>
      </c>
      <c r="F187" s="1" t="s">
        <v>20</v>
      </c>
      <c r="G187" s="1" t="n">
        <v>247.5</v>
      </c>
      <c r="H187" s="1" t="n">
        <v>240</v>
      </c>
      <c r="I187" s="1" t="n">
        <v>25.01</v>
      </c>
      <c r="J187" s="1" t="n">
        <v>0.617</v>
      </c>
      <c r="K187" s="1" t="n">
        <v>97.09</v>
      </c>
      <c r="L187" s="6" t="n">
        <v>0.006355</v>
      </c>
      <c r="M187" s="1" t="n">
        <v>-0.04459</v>
      </c>
      <c r="N187" s="1" t="n">
        <v>0.5</v>
      </c>
      <c r="O187" s="6" t="n">
        <v>1.034E-005</v>
      </c>
      <c r="P187" s="1" t="n">
        <v>3.236</v>
      </c>
      <c r="Q187" s="1" t="n">
        <v>1.108</v>
      </c>
      <c r="R187" s="1" t="n">
        <v>3.595</v>
      </c>
    </row>
    <row r="188" customFormat="false" ht="12.8" hidden="false" customHeight="false" outlineLevel="0" collapsed="false">
      <c r="A188" s="1" t="n">
        <v>1</v>
      </c>
      <c r="B188" s="4" t="str">
        <f aca="false">IF(LEFT(E188,2)="S1","01.11.2024",IF(LEFT(E188,2)="S2","24.07.2025",IF(LEFT(E188,2)="S3","14.04.2025",IF(LEFT(E188,2)="S4","04.12.2025","04.12.2025"))))</f>
        <v>04.12.2025</v>
      </c>
      <c r="C188" s="4" t="str">
        <f aca="false">IF(LEFT(E188,2)="S5","Spritz","Standard")</f>
        <v>Standard</v>
      </c>
      <c r="D188" s="4" t="n">
        <f aca="false">IF(RIGHT(E188,2)=".1",1,IF(RIGHT(E188,2)=".2",2,0))</f>
        <v>0</v>
      </c>
      <c r="E188" s="4" t="s">
        <v>28</v>
      </c>
      <c r="F188" s="1" t="s">
        <v>20</v>
      </c>
      <c r="G188" s="1" t="n">
        <v>15.56</v>
      </c>
      <c r="H188" s="1" t="n">
        <v>7.74</v>
      </c>
      <c r="I188" s="1" t="n">
        <v>25.08</v>
      </c>
      <c r="J188" s="1" t="n">
        <v>0.1387</v>
      </c>
      <c r="K188" s="1" t="n">
        <v>0.1213</v>
      </c>
      <c r="L188" s="1" t="n">
        <v>1.144</v>
      </c>
      <c r="M188" s="1" t="n">
        <v>-0.1555</v>
      </c>
      <c r="N188" s="1" t="n">
        <v>0.5</v>
      </c>
      <c r="O188" s="6" t="n">
        <v>2.324E-006</v>
      </c>
      <c r="P188" s="6" t="n">
        <v>0.004042</v>
      </c>
      <c r="Q188" s="1" t="n">
        <v>1.056</v>
      </c>
      <c r="R188" s="1" t="n">
        <v>3.851</v>
      </c>
    </row>
    <row r="189" customFormat="false" ht="12.8" hidden="false" customHeight="false" outlineLevel="0" collapsed="false">
      <c r="A189" s="1" t="n">
        <v>2</v>
      </c>
      <c r="B189" s="4" t="str">
        <f aca="false">IF(LEFT(E189,2)="S1","01.11.2024",IF(LEFT(E189,2)="S2","24.07.2025",IF(LEFT(E189,2)="S3","14.04.2025",IF(LEFT(E189,2)="S4","04.12.2025","04.12.2025"))))</f>
        <v>04.12.2025</v>
      </c>
      <c r="C189" s="4" t="str">
        <f aca="false">IF(LEFT(E189,2)="S5","Spritz","Standard")</f>
        <v>Standard</v>
      </c>
      <c r="D189" s="4" t="n">
        <f aca="false">IF(RIGHT(E189,2)=".1",1,IF(RIGHT(E189,2)=".2",2,0))</f>
        <v>0</v>
      </c>
      <c r="E189" s="4" t="s">
        <v>28</v>
      </c>
      <c r="F189" s="1" t="s">
        <v>20</v>
      </c>
      <c r="G189" s="1" t="n">
        <v>23.31</v>
      </c>
      <c r="H189" s="1" t="n">
        <v>15.49</v>
      </c>
      <c r="I189" s="1" t="n">
        <v>25.08</v>
      </c>
      <c r="J189" s="1" t="n">
        <v>0.08443</v>
      </c>
      <c r="K189" s="1" t="n">
        <v>0.1515</v>
      </c>
      <c r="L189" s="1" t="n">
        <v>0.5572</v>
      </c>
      <c r="M189" s="1" t="n">
        <v>-0.1357</v>
      </c>
      <c r="N189" s="1" t="n">
        <v>0.5</v>
      </c>
      <c r="O189" s="6" t="n">
        <v>1.415E-006</v>
      </c>
      <c r="P189" s="6" t="n">
        <v>0.005052</v>
      </c>
      <c r="Q189" s="1" t="n">
        <v>0.7268</v>
      </c>
      <c r="R189" s="1" t="n">
        <v>3.887</v>
      </c>
    </row>
    <row r="190" customFormat="false" ht="12.8" hidden="false" customHeight="false" outlineLevel="0" collapsed="false">
      <c r="A190" s="1" t="n">
        <v>3</v>
      </c>
      <c r="B190" s="4" t="str">
        <f aca="false">IF(LEFT(E190,2)="S1","01.11.2024",IF(LEFT(E190,2)="S2","24.07.2025",IF(LEFT(E190,2)="S3","14.04.2025",IF(LEFT(E190,2)="S4","04.12.2025","04.12.2025"))))</f>
        <v>04.12.2025</v>
      </c>
      <c r="C190" s="4" t="str">
        <f aca="false">IF(LEFT(E190,2)="S5","Spritz","Standard")</f>
        <v>Standard</v>
      </c>
      <c r="D190" s="4" t="n">
        <f aca="false">IF(RIGHT(E190,2)=".1",1,IF(RIGHT(E190,2)=".2",2,0))</f>
        <v>0</v>
      </c>
      <c r="E190" s="4" t="s">
        <v>28</v>
      </c>
      <c r="F190" s="1" t="s">
        <v>20</v>
      </c>
      <c r="G190" s="1" t="n">
        <v>31.05</v>
      </c>
      <c r="H190" s="1" t="n">
        <v>23.23</v>
      </c>
      <c r="I190" s="1" t="n">
        <v>25.08</v>
      </c>
      <c r="J190" s="1" t="n">
        <v>0.1038</v>
      </c>
      <c r="K190" s="1" t="n">
        <v>0.1894</v>
      </c>
      <c r="L190" s="1" t="n">
        <v>0.5481</v>
      </c>
      <c r="M190" s="1" t="n">
        <v>-0.1214</v>
      </c>
      <c r="N190" s="1" t="n">
        <v>0.5</v>
      </c>
      <c r="O190" s="6" t="n">
        <v>1.739E-006</v>
      </c>
      <c r="P190" s="6" t="n">
        <v>0.006312</v>
      </c>
      <c r="Q190" s="1" t="n">
        <v>1.013</v>
      </c>
      <c r="R190" s="1" t="n">
        <v>3.932</v>
      </c>
    </row>
    <row r="191" customFormat="false" ht="12.8" hidden="false" customHeight="false" outlineLevel="0" collapsed="false">
      <c r="A191" s="1" t="n">
        <v>4</v>
      </c>
      <c r="B191" s="4" t="str">
        <f aca="false">IF(LEFT(E191,2)="S1","01.11.2024",IF(LEFT(E191,2)="S2","24.07.2025",IF(LEFT(E191,2)="S3","14.04.2025",IF(LEFT(E191,2)="S4","04.12.2025","04.12.2025"))))</f>
        <v>04.12.2025</v>
      </c>
      <c r="C191" s="4" t="str">
        <f aca="false">IF(LEFT(E191,2)="S5","Spritz","Standard")</f>
        <v>Standard</v>
      </c>
      <c r="D191" s="4" t="n">
        <f aca="false">IF(RIGHT(E191,2)=".1",1,IF(RIGHT(E191,2)=".2",2,0))</f>
        <v>0</v>
      </c>
      <c r="E191" s="4" t="s">
        <v>28</v>
      </c>
      <c r="F191" s="1" t="s">
        <v>20</v>
      </c>
      <c r="G191" s="1" t="n">
        <v>38.79</v>
      </c>
      <c r="H191" s="1" t="n">
        <v>30.97</v>
      </c>
      <c r="I191" s="1" t="n">
        <v>25.08</v>
      </c>
      <c r="J191" s="1" t="n">
        <v>0.1319</v>
      </c>
      <c r="K191" s="1" t="n">
        <v>0.2367</v>
      </c>
      <c r="L191" s="1" t="n">
        <v>0.5574</v>
      </c>
      <c r="M191" s="1" t="n">
        <v>-0.1105</v>
      </c>
      <c r="N191" s="1" t="n">
        <v>0.5</v>
      </c>
      <c r="O191" s="6" t="n">
        <v>2.21E-006</v>
      </c>
      <c r="P191" s="6" t="n">
        <v>0.007889</v>
      </c>
      <c r="Q191" s="1" t="n">
        <v>0.7858</v>
      </c>
      <c r="R191" s="1" t="n">
        <v>3.989</v>
      </c>
    </row>
    <row r="192" customFormat="false" ht="12.8" hidden="false" customHeight="false" outlineLevel="0" collapsed="false">
      <c r="A192" s="1" t="n">
        <v>5</v>
      </c>
      <c r="B192" s="4" t="str">
        <f aca="false">IF(LEFT(E192,2)="S1","01.11.2024",IF(LEFT(E192,2)="S2","24.07.2025",IF(LEFT(E192,2)="S3","14.04.2025",IF(LEFT(E192,2)="S4","04.12.2025","04.12.2025"))))</f>
        <v>04.12.2025</v>
      </c>
      <c r="C192" s="4" t="str">
        <f aca="false">IF(LEFT(E192,2)="S5","Spritz","Standard")</f>
        <v>Standard</v>
      </c>
      <c r="D192" s="4" t="n">
        <f aca="false">IF(RIGHT(E192,2)=".1",1,IF(RIGHT(E192,2)=".2",2,0))</f>
        <v>0</v>
      </c>
      <c r="E192" s="4" t="s">
        <v>28</v>
      </c>
      <c r="F192" s="1" t="s">
        <v>20</v>
      </c>
      <c r="G192" s="1" t="n">
        <v>46.53</v>
      </c>
      <c r="H192" s="1" t="n">
        <v>38.71</v>
      </c>
      <c r="I192" s="1" t="n">
        <v>25.07</v>
      </c>
      <c r="J192" s="1" t="n">
        <v>0.1025</v>
      </c>
      <c r="K192" s="1" t="n">
        <v>0.2957</v>
      </c>
      <c r="L192" s="1" t="n">
        <v>0.3467</v>
      </c>
      <c r="M192" s="1" t="n">
        <v>-0.1027</v>
      </c>
      <c r="N192" s="1" t="n">
        <v>0.5</v>
      </c>
      <c r="O192" s="6" t="n">
        <v>1.717E-006</v>
      </c>
      <c r="P192" s="6" t="n">
        <v>0.009857</v>
      </c>
      <c r="Q192" s="1" t="n">
        <v>1.043</v>
      </c>
      <c r="R192" s="1" t="n">
        <v>4.059</v>
      </c>
    </row>
    <row r="193" customFormat="false" ht="12.8" hidden="false" customHeight="false" outlineLevel="0" collapsed="false">
      <c r="A193" s="1" t="n">
        <v>6</v>
      </c>
      <c r="B193" s="4" t="str">
        <f aca="false">IF(LEFT(E193,2)="S1","01.11.2024",IF(LEFT(E193,2)="S2","24.07.2025",IF(LEFT(E193,2)="S3","14.04.2025",IF(LEFT(E193,2)="S4","04.12.2025","04.12.2025"))))</f>
        <v>04.12.2025</v>
      </c>
      <c r="C193" s="4" t="str">
        <f aca="false">IF(LEFT(E193,2)="S5","Spritz","Standard")</f>
        <v>Standard</v>
      </c>
      <c r="D193" s="4" t="n">
        <f aca="false">IF(RIGHT(E193,2)=".1",1,IF(RIGHT(E193,2)=".2",2,0))</f>
        <v>0</v>
      </c>
      <c r="E193" s="4" t="s">
        <v>28</v>
      </c>
      <c r="F193" s="1" t="s">
        <v>20</v>
      </c>
      <c r="G193" s="1" t="n">
        <v>54.27</v>
      </c>
      <c r="H193" s="1" t="n">
        <v>46.45</v>
      </c>
      <c r="I193" s="1" t="n">
        <v>25.06</v>
      </c>
      <c r="J193" s="1" t="n">
        <v>0.1325</v>
      </c>
      <c r="K193" s="1" t="n">
        <v>0.3695</v>
      </c>
      <c r="L193" s="1" t="n">
        <v>0.3585</v>
      </c>
      <c r="M193" s="1" t="n">
        <v>-0.0969</v>
      </c>
      <c r="N193" s="1" t="n">
        <v>0.5</v>
      </c>
      <c r="O193" s="6" t="n">
        <v>2.219E-006</v>
      </c>
      <c r="P193" s="1" t="n">
        <v>0.01232</v>
      </c>
      <c r="Q193" s="1" t="n">
        <v>1.211</v>
      </c>
      <c r="R193" s="1" t="n">
        <v>4.147</v>
      </c>
    </row>
    <row r="194" customFormat="false" ht="12.8" hidden="false" customHeight="false" outlineLevel="0" collapsed="false">
      <c r="A194" s="1" t="n">
        <v>7</v>
      </c>
      <c r="B194" s="4" t="str">
        <f aca="false">IF(LEFT(E194,2)="S1","01.11.2024",IF(LEFT(E194,2)="S2","24.07.2025",IF(LEFT(E194,2)="S3","14.04.2025",IF(LEFT(E194,2)="S4","04.12.2025","04.12.2025"))))</f>
        <v>04.12.2025</v>
      </c>
      <c r="C194" s="4" t="str">
        <f aca="false">IF(LEFT(E194,2)="S5","Spritz","Standard")</f>
        <v>Standard</v>
      </c>
      <c r="D194" s="4" t="n">
        <f aca="false">IF(RIGHT(E194,2)=".1",1,IF(RIGHT(E194,2)=".2",2,0))</f>
        <v>0</v>
      </c>
      <c r="E194" s="4" t="s">
        <v>28</v>
      </c>
      <c r="F194" s="1" t="s">
        <v>20</v>
      </c>
      <c r="G194" s="1" t="n">
        <v>62.02</v>
      </c>
      <c r="H194" s="1" t="n">
        <v>54.2</v>
      </c>
      <c r="I194" s="1" t="n">
        <v>25.06</v>
      </c>
      <c r="J194" s="1" t="n">
        <v>0.1261</v>
      </c>
      <c r="K194" s="1" t="n">
        <v>0.4618</v>
      </c>
      <c r="L194" s="1" t="n">
        <v>0.2731</v>
      </c>
      <c r="M194" s="1" t="n">
        <v>-0.09194</v>
      </c>
      <c r="N194" s="1" t="n">
        <v>0.5</v>
      </c>
      <c r="O194" s="6" t="n">
        <v>2.113E-006</v>
      </c>
      <c r="P194" s="1" t="n">
        <v>0.01539</v>
      </c>
      <c r="Q194" s="1" t="n">
        <v>0.8122</v>
      </c>
      <c r="R194" s="1" t="n">
        <v>4.257</v>
      </c>
    </row>
    <row r="195" customFormat="false" ht="12.8" hidden="false" customHeight="false" outlineLevel="0" collapsed="false">
      <c r="A195" s="1" t="n">
        <v>8</v>
      </c>
      <c r="B195" s="4" t="str">
        <f aca="false">IF(LEFT(E195,2)="S1","01.11.2024",IF(LEFT(E195,2)="S2","24.07.2025",IF(LEFT(E195,2)="S3","14.04.2025",IF(LEFT(E195,2)="S4","04.12.2025","04.12.2025"))))</f>
        <v>04.12.2025</v>
      </c>
      <c r="C195" s="4" t="str">
        <f aca="false">IF(LEFT(E195,2)="S5","Spritz","Standard")</f>
        <v>Standard</v>
      </c>
      <c r="D195" s="4" t="n">
        <f aca="false">IF(RIGHT(E195,2)=".1",1,IF(RIGHT(E195,2)=".2",2,0))</f>
        <v>0</v>
      </c>
      <c r="E195" s="4" t="s">
        <v>28</v>
      </c>
      <c r="F195" s="1" t="s">
        <v>20</v>
      </c>
      <c r="G195" s="1" t="n">
        <v>69.76</v>
      </c>
      <c r="H195" s="1" t="n">
        <v>61.94</v>
      </c>
      <c r="I195" s="1" t="n">
        <v>25.05</v>
      </c>
      <c r="J195" s="1" t="n">
        <v>0.1353</v>
      </c>
      <c r="K195" s="1" t="n">
        <v>0.577</v>
      </c>
      <c r="L195" s="1" t="n">
        <v>0.2345</v>
      </c>
      <c r="M195" s="1" t="n">
        <v>-0.08764</v>
      </c>
      <c r="N195" s="1" t="n">
        <v>0.5</v>
      </c>
      <c r="O195" s="6" t="n">
        <v>2.267E-006</v>
      </c>
      <c r="P195" s="1" t="n">
        <v>0.01923</v>
      </c>
      <c r="Q195" s="1" t="n">
        <v>0.8016</v>
      </c>
      <c r="R195" s="1" t="n">
        <v>4.394</v>
      </c>
    </row>
    <row r="196" customFormat="false" ht="12.8" hidden="false" customHeight="false" outlineLevel="0" collapsed="false">
      <c r="A196" s="1" t="n">
        <v>9</v>
      </c>
      <c r="B196" s="4" t="str">
        <f aca="false">IF(LEFT(E196,2)="S1","01.11.2024",IF(LEFT(E196,2)="S2","24.07.2025",IF(LEFT(E196,2)="S3","14.04.2025",IF(LEFT(E196,2)="S4","04.12.2025","04.12.2025"))))</f>
        <v>04.12.2025</v>
      </c>
      <c r="C196" s="4" t="str">
        <f aca="false">IF(LEFT(E196,2)="S5","Spritz","Standard")</f>
        <v>Standard</v>
      </c>
      <c r="D196" s="4" t="n">
        <f aca="false">IF(RIGHT(E196,2)=".1",1,IF(RIGHT(E196,2)=".2",2,0))</f>
        <v>0</v>
      </c>
      <c r="E196" s="4" t="s">
        <v>28</v>
      </c>
      <c r="F196" s="1" t="s">
        <v>20</v>
      </c>
      <c r="G196" s="1" t="n">
        <v>77.5</v>
      </c>
      <c r="H196" s="1" t="n">
        <v>69.68</v>
      </c>
      <c r="I196" s="1" t="n">
        <v>25.05</v>
      </c>
      <c r="J196" s="1" t="n">
        <v>0.1387</v>
      </c>
      <c r="K196" s="1" t="n">
        <v>0.721</v>
      </c>
      <c r="L196" s="1" t="n">
        <v>0.1923</v>
      </c>
      <c r="M196" s="1" t="n">
        <v>-0.0843</v>
      </c>
      <c r="N196" s="1" t="n">
        <v>0.5</v>
      </c>
      <c r="O196" s="6" t="n">
        <v>2.323E-006</v>
      </c>
      <c r="P196" s="1" t="n">
        <v>0.02404</v>
      </c>
      <c r="Q196" s="1" t="n">
        <v>1.039</v>
      </c>
      <c r="R196" s="1" t="n">
        <v>4.566</v>
      </c>
    </row>
    <row r="197" customFormat="false" ht="12.8" hidden="false" customHeight="false" outlineLevel="0" collapsed="false">
      <c r="A197" s="1" t="n">
        <v>10</v>
      </c>
      <c r="B197" s="4" t="str">
        <f aca="false">IF(LEFT(E197,2)="S1","01.11.2024",IF(LEFT(E197,2)="S2","24.07.2025",IF(LEFT(E197,2)="S3","14.04.2025",IF(LEFT(E197,2)="S4","04.12.2025","04.12.2025"))))</f>
        <v>04.12.2025</v>
      </c>
      <c r="C197" s="4" t="str">
        <f aca="false">IF(LEFT(E197,2)="S5","Spritz","Standard")</f>
        <v>Standard</v>
      </c>
      <c r="D197" s="4" t="n">
        <f aca="false">IF(RIGHT(E197,2)=".1",1,IF(RIGHT(E197,2)=".2",2,0))</f>
        <v>0</v>
      </c>
      <c r="E197" s="4" t="s">
        <v>28</v>
      </c>
      <c r="F197" s="1" t="s">
        <v>20</v>
      </c>
      <c r="G197" s="1" t="n">
        <v>85.24</v>
      </c>
      <c r="H197" s="1" t="n">
        <v>77.42</v>
      </c>
      <c r="I197" s="1" t="n">
        <v>25.05</v>
      </c>
      <c r="J197" s="1" t="n">
        <v>0.1586</v>
      </c>
      <c r="K197" s="1" t="n">
        <v>0.9011</v>
      </c>
      <c r="L197" s="1" t="n">
        <v>0.1761</v>
      </c>
      <c r="M197" s="1" t="n">
        <v>-0.08095</v>
      </c>
      <c r="N197" s="1" t="n">
        <v>0.5</v>
      </c>
      <c r="O197" s="6" t="n">
        <v>2.658E-006</v>
      </c>
      <c r="P197" s="1" t="n">
        <v>0.03004</v>
      </c>
      <c r="Q197" s="1" t="n">
        <v>1.094</v>
      </c>
      <c r="R197" s="1" t="n">
        <v>4.781</v>
      </c>
    </row>
    <row r="198" customFormat="false" ht="12.8" hidden="false" customHeight="false" outlineLevel="0" collapsed="false">
      <c r="A198" s="1" t="n">
        <v>11</v>
      </c>
      <c r="B198" s="4" t="str">
        <f aca="false">IF(LEFT(E198,2)="S1","01.11.2024",IF(LEFT(E198,2)="S2","24.07.2025",IF(LEFT(E198,2)="S3","14.04.2025",IF(LEFT(E198,2)="S4","04.12.2025","04.12.2025"))))</f>
        <v>04.12.2025</v>
      </c>
      <c r="C198" s="4" t="str">
        <f aca="false">IF(LEFT(E198,2)="S5","Spritz","Standard")</f>
        <v>Standard</v>
      </c>
      <c r="D198" s="4" t="n">
        <f aca="false">IF(RIGHT(E198,2)=".1",1,IF(RIGHT(E198,2)=".2",2,0))</f>
        <v>0</v>
      </c>
      <c r="E198" s="4" t="s">
        <v>28</v>
      </c>
      <c r="F198" s="1" t="s">
        <v>20</v>
      </c>
      <c r="G198" s="1" t="n">
        <v>92.98</v>
      </c>
      <c r="H198" s="1" t="n">
        <v>85.16</v>
      </c>
      <c r="I198" s="1" t="n">
        <v>25.04</v>
      </c>
      <c r="J198" s="1" t="n">
        <v>0.1684</v>
      </c>
      <c r="K198" s="1" t="n">
        <v>1.126</v>
      </c>
      <c r="L198" s="1" t="n">
        <v>0.1496</v>
      </c>
      <c r="M198" s="1" t="n">
        <v>-0.07839</v>
      </c>
      <c r="N198" s="1" t="n">
        <v>0.5</v>
      </c>
      <c r="O198" s="6" t="n">
        <v>2.821E-006</v>
      </c>
      <c r="P198" s="1" t="n">
        <v>0.03753</v>
      </c>
      <c r="Q198" s="1" t="n">
        <v>0.8204</v>
      </c>
      <c r="R198" s="1" t="n">
        <v>5.049</v>
      </c>
    </row>
    <row r="199" customFormat="false" ht="12.8" hidden="false" customHeight="false" outlineLevel="0" collapsed="false">
      <c r="A199" s="1" t="n">
        <v>12</v>
      </c>
      <c r="B199" s="4" t="str">
        <f aca="false">IF(LEFT(E199,2)="S1","01.11.2024",IF(LEFT(E199,2)="S2","24.07.2025",IF(LEFT(E199,2)="S3","14.04.2025",IF(LEFT(E199,2)="S4","04.12.2025","04.12.2025"))))</f>
        <v>04.12.2025</v>
      </c>
      <c r="C199" s="4" t="str">
        <f aca="false">IF(LEFT(E199,2)="S5","Spritz","Standard")</f>
        <v>Standard</v>
      </c>
      <c r="D199" s="4" t="n">
        <f aca="false">IF(RIGHT(E199,2)=".1",1,IF(RIGHT(E199,2)=".2",2,0))</f>
        <v>0</v>
      </c>
      <c r="E199" s="4" t="s">
        <v>28</v>
      </c>
      <c r="F199" s="1" t="s">
        <v>20</v>
      </c>
      <c r="G199" s="1" t="n">
        <v>100.7</v>
      </c>
      <c r="H199" s="1" t="n">
        <v>92.91</v>
      </c>
      <c r="I199" s="1" t="n">
        <v>25.04</v>
      </c>
      <c r="J199" s="1" t="n">
        <v>0.1578</v>
      </c>
      <c r="K199" s="1" t="n">
        <v>1.407</v>
      </c>
      <c r="L199" s="1" t="n">
        <v>0.1122</v>
      </c>
      <c r="M199" s="1" t="n">
        <v>-0.07746</v>
      </c>
      <c r="N199" s="1" t="n">
        <v>0.5</v>
      </c>
      <c r="O199" s="6" t="n">
        <v>2.644E-006</v>
      </c>
      <c r="P199" s="1" t="n">
        <v>0.04691</v>
      </c>
      <c r="Q199" s="1" t="n">
        <v>1.16</v>
      </c>
      <c r="R199" s="1" t="n">
        <v>5.384</v>
      </c>
    </row>
    <row r="200" customFormat="false" ht="12.8" hidden="false" customHeight="false" outlineLevel="0" collapsed="false">
      <c r="A200" s="1" t="n">
        <v>13</v>
      </c>
      <c r="B200" s="4" t="str">
        <f aca="false">IF(LEFT(E200,2)="S1","01.11.2024",IF(LEFT(E200,2)="S2","24.07.2025",IF(LEFT(E200,2)="S3","14.04.2025",IF(LEFT(E200,2)="S4","04.12.2025","04.12.2025"))))</f>
        <v>04.12.2025</v>
      </c>
      <c r="C200" s="4" t="str">
        <f aca="false">IF(LEFT(E200,2)="S5","Spritz","Standard")</f>
        <v>Standard</v>
      </c>
      <c r="D200" s="4" t="n">
        <f aca="false">IF(RIGHT(E200,2)=".1",1,IF(RIGHT(E200,2)=".2",2,0))</f>
        <v>0</v>
      </c>
      <c r="E200" s="4" t="s">
        <v>28</v>
      </c>
      <c r="F200" s="1" t="s">
        <v>20</v>
      </c>
      <c r="G200" s="1" t="n">
        <v>108.5</v>
      </c>
      <c r="H200" s="1" t="n">
        <v>100.6</v>
      </c>
      <c r="I200" s="1" t="n">
        <v>25.04</v>
      </c>
      <c r="J200" s="1" t="n">
        <v>0.1132</v>
      </c>
      <c r="K200" s="1" t="n">
        <v>1.758</v>
      </c>
      <c r="L200" s="1" t="n">
        <v>0.06439</v>
      </c>
      <c r="M200" s="1" t="n">
        <v>-0.07713</v>
      </c>
      <c r="N200" s="1" t="n">
        <v>0.5</v>
      </c>
      <c r="O200" s="6" t="n">
        <v>1.897E-006</v>
      </c>
      <c r="P200" s="1" t="n">
        <v>0.05861</v>
      </c>
      <c r="Q200" s="1" t="n">
        <v>1.033</v>
      </c>
      <c r="R200" s="1" t="n">
        <v>5.802</v>
      </c>
    </row>
    <row r="201" customFormat="false" ht="12.8" hidden="false" customHeight="false" outlineLevel="0" collapsed="false">
      <c r="A201" s="1" t="n">
        <v>14</v>
      </c>
      <c r="B201" s="4" t="str">
        <f aca="false">IF(LEFT(E201,2)="S1","01.11.2024",IF(LEFT(E201,2)="S2","24.07.2025",IF(LEFT(E201,2)="S3","14.04.2025",IF(LEFT(E201,2)="S4","04.12.2025","04.12.2025"))))</f>
        <v>04.12.2025</v>
      </c>
      <c r="C201" s="4" t="str">
        <f aca="false">IF(LEFT(E201,2)="S5","Spritz","Standard")</f>
        <v>Standard</v>
      </c>
      <c r="D201" s="4" t="n">
        <f aca="false">IF(RIGHT(E201,2)=".1",1,IF(RIGHT(E201,2)=".2",2,0))</f>
        <v>0</v>
      </c>
      <c r="E201" s="4" t="s">
        <v>28</v>
      </c>
      <c r="F201" s="1" t="s">
        <v>20</v>
      </c>
      <c r="G201" s="1" t="n">
        <v>116.2</v>
      </c>
      <c r="H201" s="1" t="n">
        <v>108.4</v>
      </c>
      <c r="I201" s="1" t="n">
        <v>25.04</v>
      </c>
      <c r="J201" s="1" t="n">
        <v>0.1623</v>
      </c>
      <c r="K201" s="1" t="n">
        <v>2.197</v>
      </c>
      <c r="L201" s="1" t="n">
        <v>0.07385</v>
      </c>
      <c r="M201" s="1" t="n">
        <v>-0.07535</v>
      </c>
      <c r="N201" s="1" t="n">
        <v>0.5</v>
      </c>
      <c r="O201" s="6" t="n">
        <v>2.718E-006</v>
      </c>
      <c r="P201" s="1" t="n">
        <v>0.07324</v>
      </c>
      <c r="Q201" s="1" t="n">
        <v>1.242</v>
      </c>
      <c r="R201" s="1" t="n">
        <v>0.0421</v>
      </c>
    </row>
    <row r="202" customFormat="false" ht="12.8" hidden="false" customHeight="false" outlineLevel="0" collapsed="false">
      <c r="A202" s="1" t="n">
        <v>15</v>
      </c>
      <c r="B202" s="4" t="str">
        <f aca="false">IF(LEFT(E202,2)="S1","01.11.2024",IF(LEFT(E202,2)="S2","24.07.2025",IF(LEFT(E202,2)="S3","14.04.2025",IF(LEFT(E202,2)="S4","04.12.2025","04.12.2025"))))</f>
        <v>04.12.2025</v>
      </c>
      <c r="C202" s="4" t="str">
        <f aca="false">IF(LEFT(E202,2)="S5","Spritz","Standard")</f>
        <v>Standard</v>
      </c>
      <c r="D202" s="4" t="n">
        <f aca="false">IF(RIGHT(E202,2)=".1",1,IF(RIGHT(E202,2)=".2",2,0))</f>
        <v>0</v>
      </c>
      <c r="E202" s="4" t="s">
        <v>28</v>
      </c>
      <c r="F202" s="1" t="s">
        <v>20</v>
      </c>
      <c r="G202" s="1" t="n">
        <v>124</v>
      </c>
      <c r="H202" s="1" t="n">
        <v>116.1</v>
      </c>
      <c r="I202" s="1" t="n">
        <v>25.03</v>
      </c>
      <c r="J202" s="1" t="n">
        <v>0.2448</v>
      </c>
      <c r="K202" s="1" t="n">
        <v>2.746</v>
      </c>
      <c r="L202" s="1" t="n">
        <v>0.08916</v>
      </c>
      <c r="M202" s="1" t="n">
        <v>-0.074</v>
      </c>
      <c r="N202" s="1" t="n">
        <v>0.5</v>
      </c>
      <c r="O202" s="6" t="n">
        <v>4.101E-006</v>
      </c>
      <c r="P202" s="1" t="n">
        <v>0.09153</v>
      </c>
      <c r="Q202" s="1" t="n">
        <v>0.6766</v>
      </c>
      <c r="R202" s="1" t="n">
        <v>0.696</v>
      </c>
    </row>
    <row r="203" customFormat="false" ht="12.8" hidden="false" customHeight="false" outlineLevel="0" collapsed="false">
      <c r="A203" s="1" t="n">
        <v>16</v>
      </c>
      <c r="B203" s="4" t="str">
        <f aca="false">IF(LEFT(E203,2)="S1","01.11.2024",IF(LEFT(E203,2)="S2","24.07.2025",IF(LEFT(E203,2)="S3","14.04.2025",IF(LEFT(E203,2)="S4","04.12.2025","04.12.2025"))))</f>
        <v>04.12.2025</v>
      </c>
      <c r="C203" s="4" t="str">
        <f aca="false">IF(LEFT(E203,2)="S5","Spritz","Standard")</f>
        <v>Standard</v>
      </c>
      <c r="D203" s="4" t="n">
        <f aca="false">IF(RIGHT(E203,2)=".1",1,IF(RIGHT(E203,2)=".2",2,0))</f>
        <v>0</v>
      </c>
      <c r="E203" s="4" t="s">
        <v>28</v>
      </c>
      <c r="F203" s="1" t="s">
        <v>20</v>
      </c>
      <c r="G203" s="1" t="n">
        <v>131.7</v>
      </c>
      <c r="H203" s="1" t="n">
        <v>123.9</v>
      </c>
      <c r="I203" s="1" t="n">
        <v>25.03</v>
      </c>
      <c r="J203" s="1" t="n">
        <v>0.2938</v>
      </c>
      <c r="K203" s="1" t="n">
        <v>3.431</v>
      </c>
      <c r="L203" s="1" t="n">
        <v>0.08563</v>
      </c>
      <c r="M203" s="1" t="n">
        <v>-0.07312</v>
      </c>
      <c r="N203" s="1" t="n">
        <v>0.5</v>
      </c>
      <c r="O203" s="6" t="n">
        <v>4.922E-006</v>
      </c>
      <c r="P203" s="1" t="n">
        <v>0.1144</v>
      </c>
      <c r="Q203" s="1" t="n">
        <v>1.052</v>
      </c>
      <c r="R203" s="1" t="n">
        <v>1.513</v>
      </c>
    </row>
    <row r="204" customFormat="false" ht="12.8" hidden="false" customHeight="false" outlineLevel="0" collapsed="false">
      <c r="A204" s="1" t="n">
        <v>17</v>
      </c>
      <c r="B204" s="4" t="str">
        <f aca="false">IF(LEFT(E204,2)="S1","01.11.2024",IF(LEFT(E204,2)="S2","24.07.2025",IF(LEFT(E204,2)="S3","14.04.2025",IF(LEFT(E204,2)="S4","04.12.2025","04.12.2025"))))</f>
        <v>04.12.2025</v>
      </c>
      <c r="C204" s="4" t="str">
        <f aca="false">IF(LEFT(E204,2)="S5","Spritz","Standard")</f>
        <v>Standard</v>
      </c>
      <c r="D204" s="4" t="n">
        <f aca="false">IF(RIGHT(E204,2)=".1",1,IF(RIGHT(E204,2)=".2",2,0))</f>
        <v>0</v>
      </c>
      <c r="E204" s="4" t="s">
        <v>28</v>
      </c>
      <c r="F204" s="1" t="s">
        <v>20</v>
      </c>
      <c r="G204" s="1" t="n">
        <v>139.4</v>
      </c>
      <c r="H204" s="1" t="n">
        <v>131.6</v>
      </c>
      <c r="I204" s="1" t="n">
        <v>25.02</v>
      </c>
      <c r="J204" s="1" t="n">
        <v>0.3596</v>
      </c>
      <c r="K204" s="1" t="n">
        <v>4.288</v>
      </c>
      <c r="L204" s="1" t="n">
        <v>0.08386</v>
      </c>
      <c r="M204" s="1" t="n">
        <v>-0.07289</v>
      </c>
      <c r="N204" s="1" t="n">
        <v>0.5</v>
      </c>
      <c r="O204" s="6" t="n">
        <v>6.024E-006</v>
      </c>
      <c r="P204" s="1" t="n">
        <v>0.1429</v>
      </c>
      <c r="Q204" s="1" t="n">
        <v>0.7875</v>
      </c>
      <c r="R204" s="1" t="n">
        <v>2.534</v>
      </c>
    </row>
    <row r="205" customFormat="false" ht="12.8" hidden="false" customHeight="false" outlineLevel="0" collapsed="false">
      <c r="A205" s="1" t="n">
        <v>18</v>
      </c>
      <c r="B205" s="4" t="str">
        <f aca="false">IF(LEFT(E205,2)="S1","01.11.2024",IF(LEFT(E205,2)="S2","24.07.2025",IF(LEFT(E205,2)="S3","14.04.2025",IF(LEFT(E205,2)="S4","04.12.2025","04.12.2025"))))</f>
        <v>04.12.2025</v>
      </c>
      <c r="C205" s="4" t="str">
        <f aca="false">IF(LEFT(E205,2)="S5","Spritz","Standard")</f>
        <v>Standard</v>
      </c>
      <c r="D205" s="4" t="n">
        <f aca="false">IF(RIGHT(E205,2)=".1",1,IF(RIGHT(E205,2)=".2",2,0))</f>
        <v>0</v>
      </c>
      <c r="E205" s="4" t="s">
        <v>28</v>
      </c>
      <c r="F205" s="1" t="s">
        <v>20</v>
      </c>
      <c r="G205" s="1" t="n">
        <v>147.2</v>
      </c>
      <c r="H205" s="1" t="n">
        <v>139.4</v>
      </c>
      <c r="I205" s="1" t="n">
        <v>25.02</v>
      </c>
      <c r="J205" s="1" t="n">
        <v>0.2291</v>
      </c>
      <c r="K205" s="1" t="n">
        <v>5.358</v>
      </c>
      <c r="L205" s="1" t="n">
        <v>0.04276</v>
      </c>
      <c r="M205" s="1" t="n">
        <v>-0.07184</v>
      </c>
      <c r="N205" s="1" t="n">
        <v>0.5</v>
      </c>
      <c r="O205" s="6" t="n">
        <v>3.838E-006</v>
      </c>
      <c r="P205" s="1" t="n">
        <v>0.1786</v>
      </c>
      <c r="Q205" s="1" t="n">
        <v>-1.9</v>
      </c>
      <c r="R205" s="1" t="n">
        <v>3.809</v>
      </c>
    </row>
    <row r="206" customFormat="false" ht="12.8" hidden="false" customHeight="false" outlineLevel="0" collapsed="false">
      <c r="A206" s="1" t="n">
        <v>19</v>
      </c>
      <c r="B206" s="4" t="str">
        <f aca="false">IF(LEFT(E206,2)="S1","01.11.2024",IF(LEFT(E206,2)="S2","24.07.2025",IF(LEFT(E206,2)="S3","14.04.2025",IF(LEFT(E206,2)="S4","04.12.2025","04.12.2025"))))</f>
        <v>04.12.2025</v>
      </c>
      <c r="C206" s="4" t="str">
        <f aca="false">IF(LEFT(E206,2)="S5","Spritz","Standard")</f>
        <v>Standard</v>
      </c>
      <c r="D206" s="4" t="n">
        <f aca="false">IF(RIGHT(E206,2)=".1",1,IF(RIGHT(E206,2)=".2",2,0))</f>
        <v>0</v>
      </c>
      <c r="E206" s="4" t="s">
        <v>28</v>
      </c>
      <c r="F206" s="1" t="s">
        <v>20</v>
      </c>
      <c r="G206" s="1" t="n">
        <v>154.9</v>
      </c>
      <c r="H206" s="1" t="n">
        <v>147.1</v>
      </c>
      <c r="I206" s="1" t="n">
        <v>25.02</v>
      </c>
      <c r="J206" s="1" t="n">
        <v>0.3536</v>
      </c>
      <c r="K206" s="1" t="n">
        <v>6.695</v>
      </c>
      <c r="L206" s="1" t="n">
        <v>0.05282</v>
      </c>
      <c r="M206" s="1" t="n">
        <v>-0.0721</v>
      </c>
      <c r="N206" s="1" t="n">
        <v>0.5</v>
      </c>
      <c r="O206" s="6" t="n">
        <v>5.924E-006</v>
      </c>
      <c r="P206" s="1" t="n">
        <v>0.2232</v>
      </c>
      <c r="Q206" s="1" t="n">
        <v>0.8516</v>
      </c>
      <c r="R206" s="1" t="n">
        <v>5.403</v>
      </c>
    </row>
    <row r="207" customFormat="false" ht="12.8" hidden="false" customHeight="false" outlineLevel="0" collapsed="false">
      <c r="A207" s="1" t="n">
        <v>20</v>
      </c>
      <c r="B207" s="4" t="str">
        <f aca="false">IF(LEFT(E207,2)="S1","01.11.2024",IF(LEFT(E207,2)="S2","24.07.2025",IF(LEFT(E207,2)="S3","14.04.2025",IF(LEFT(E207,2)="S4","04.12.2025","04.12.2025"))))</f>
        <v>04.12.2025</v>
      </c>
      <c r="C207" s="4" t="str">
        <f aca="false">IF(LEFT(E207,2)="S5","Spritz","Standard")</f>
        <v>Standard</v>
      </c>
      <c r="D207" s="4" t="n">
        <f aca="false">IF(RIGHT(E207,2)=".1",1,IF(RIGHT(E207,2)=".2",2,0))</f>
        <v>0</v>
      </c>
      <c r="E207" s="4" t="s">
        <v>28</v>
      </c>
      <c r="F207" s="1" t="s">
        <v>20</v>
      </c>
      <c r="G207" s="1" t="n">
        <v>162.7</v>
      </c>
      <c r="H207" s="1" t="n">
        <v>154.8</v>
      </c>
      <c r="I207" s="1" t="n">
        <v>25.02</v>
      </c>
      <c r="J207" s="1" t="n">
        <v>0.3682</v>
      </c>
      <c r="K207" s="1" t="n">
        <v>8.367</v>
      </c>
      <c r="L207" s="1" t="n">
        <v>0.04401</v>
      </c>
      <c r="M207" s="1" t="n">
        <v>-0.07117</v>
      </c>
      <c r="N207" s="1" t="n">
        <v>0.5</v>
      </c>
      <c r="O207" s="6" t="n">
        <v>6.168E-006</v>
      </c>
      <c r="P207" s="1" t="n">
        <v>0.2789</v>
      </c>
      <c r="Q207" s="1" t="n">
        <v>0.8493</v>
      </c>
      <c r="R207" s="1" t="n">
        <v>1.112</v>
      </c>
    </row>
    <row r="208" customFormat="false" ht="12.8" hidden="false" customHeight="false" outlineLevel="0" collapsed="false">
      <c r="A208" s="1" t="n">
        <v>21</v>
      </c>
      <c r="B208" s="4" t="str">
        <f aca="false">IF(LEFT(E208,2)="S1","01.11.2024",IF(LEFT(E208,2)="S2","24.07.2025",IF(LEFT(E208,2)="S3","14.04.2025",IF(LEFT(E208,2)="S4","04.12.2025","04.12.2025"))))</f>
        <v>04.12.2025</v>
      </c>
      <c r="C208" s="4" t="str">
        <f aca="false">IF(LEFT(E208,2)="S5","Spritz","Standard")</f>
        <v>Standard</v>
      </c>
      <c r="D208" s="4" t="n">
        <f aca="false">IF(RIGHT(E208,2)=".1",1,IF(RIGHT(E208,2)=".2",2,0))</f>
        <v>0</v>
      </c>
      <c r="E208" s="4" t="s">
        <v>28</v>
      </c>
      <c r="F208" s="1" t="s">
        <v>20</v>
      </c>
      <c r="G208" s="1" t="n">
        <v>170.4</v>
      </c>
      <c r="H208" s="1" t="n">
        <v>162.6</v>
      </c>
      <c r="I208" s="1" t="n">
        <v>25.02</v>
      </c>
      <c r="J208" s="1" t="n">
        <v>0.2889</v>
      </c>
      <c r="K208" s="1" t="n">
        <v>10.46</v>
      </c>
      <c r="L208" s="1" t="n">
        <v>0.02763</v>
      </c>
      <c r="M208" s="1" t="n">
        <v>-0.07015</v>
      </c>
      <c r="N208" s="1" t="n">
        <v>0.5</v>
      </c>
      <c r="O208" s="6" t="n">
        <v>4.84E-006</v>
      </c>
      <c r="P208" s="1" t="n">
        <v>0.3485</v>
      </c>
      <c r="Q208" s="1" t="n">
        <v>1.322</v>
      </c>
      <c r="R208" s="1" t="n">
        <v>3.601</v>
      </c>
    </row>
    <row r="209" customFormat="false" ht="12.8" hidden="false" customHeight="false" outlineLevel="0" collapsed="false">
      <c r="A209" s="1" t="n">
        <v>22</v>
      </c>
      <c r="B209" s="4" t="str">
        <f aca="false">IF(LEFT(E209,2)="S1","01.11.2024",IF(LEFT(E209,2)="S2","24.07.2025",IF(LEFT(E209,2)="S3","14.04.2025",IF(LEFT(E209,2)="S4","04.12.2025","04.12.2025"))))</f>
        <v>04.12.2025</v>
      </c>
      <c r="C209" s="4" t="str">
        <f aca="false">IF(LEFT(E209,2)="S5","Spritz","Standard")</f>
        <v>Standard</v>
      </c>
      <c r="D209" s="4" t="n">
        <f aca="false">IF(RIGHT(E209,2)=".1",1,IF(RIGHT(E209,2)=".2",2,0))</f>
        <v>0</v>
      </c>
      <c r="E209" s="4" t="s">
        <v>28</v>
      </c>
      <c r="F209" s="1" t="s">
        <v>20</v>
      </c>
      <c r="G209" s="1" t="n">
        <v>178.1</v>
      </c>
      <c r="H209" s="1" t="n">
        <v>170.3</v>
      </c>
      <c r="I209" s="1" t="n">
        <v>25.02</v>
      </c>
      <c r="J209" s="1" t="n">
        <v>0.323</v>
      </c>
      <c r="K209" s="1" t="n">
        <v>13.07</v>
      </c>
      <c r="L209" s="1" t="n">
        <v>0.02472</v>
      </c>
      <c r="M209" s="1" t="n">
        <v>-0.06966</v>
      </c>
      <c r="N209" s="1" t="n">
        <v>0.5</v>
      </c>
      <c r="O209" s="6" t="n">
        <v>5.41E-006</v>
      </c>
      <c r="P209" s="1" t="n">
        <v>0.4356</v>
      </c>
      <c r="Q209" s="1" t="n">
        <v>0.9609</v>
      </c>
      <c r="R209" s="1" t="n">
        <v>0.4298</v>
      </c>
    </row>
    <row r="210" customFormat="false" ht="12.8" hidden="false" customHeight="false" outlineLevel="0" collapsed="false">
      <c r="A210" s="1" t="n">
        <v>23</v>
      </c>
      <c r="B210" s="4" t="str">
        <f aca="false">IF(LEFT(E210,2)="S1","01.11.2024",IF(LEFT(E210,2)="S2","24.07.2025",IF(LEFT(E210,2)="S3","14.04.2025",IF(LEFT(E210,2)="S4","04.12.2025","04.12.2025"))))</f>
        <v>04.12.2025</v>
      </c>
      <c r="C210" s="4" t="str">
        <f aca="false">IF(LEFT(E210,2)="S5","Spritz","Standard")</f>
        <v>Standard</v>
      </c>
      <c r="D210" s="4" t="n">
        <f aca="false">IF(RIGHT(E210,2)=".1",1,IF(RIGHT(E210,2)=".2",2,0))</f>
        <v>0</v>
      </c>
      <c r="E210" s="4" t="s">
        <v>28</v>
      </c>
      <c r="F210" s="1" t="s">
        <v>20</v>
      </c>
      <c r="G210" s="1" t="n">
        <v>185.9</v>
      </c>
      <c r="H210" s="1" t="n">
        <v>178.1</v>
      </c>
      <c r="I210" s="1" t="n">
        <v>25.02</v>
      </c>
      <c r="J210" s="1" t="n">
        <v>0.3174</v>
      </c>
      <c r="K210" s="1" t="n">
        <v>16.33</v>
      </c>
      <c r="L210" s="1" t="n">
        <v>0.01944</v>
      </c>
      <c r="M210" s="1" t="n">
        <v>-0.06955</v>
      </c>
      <c r="N210" s="1" t="n">
        <v>0.5</v>
      </c>
      <c r="O210" s="6" t="n">
        <v>5.317E-006</v>
      </c>
      <c r="P210" s="1" t="n">
        <v>0.5443</v>
      </c>
      <c r="Q210" s="1" t="n">
        <v>0.8685</v>
      </c>
      <c r="R210" s="1" t="n">
        <v>4.316</v>
      </c>
    </row>
    <row r="211" customFormat="false" ht="12.8" hidden="false" customHeight="false" outlineLevel="0" collapsed="false">
      <c r="A211" s="1" t="n">
        <v>24</v>
      </c>
      <c r="B211" s="4" t="str">
        <f aca="false">IF(LEFT(E211,2)="S1","01.11.2024",IF(LEFT(E211,2)="S2","24.07.2025",IF(LEFT(E211,2)="S3","14.04.2025",IF(LEFT(E211,2)="S4","04.12.2025","04.12.2025"))))</f>
        <v>04.12.2025</v>
      </c>
      <c r="C211" s="4" t="str">
        <f aca="false">IF(LEFT(E211,2)="S5","Spritz","Standard")</f>
        <v>Standard</v>
      </c>
      <c r="D211" s="4" t="n">
        <f aca="false">IF(RIGHT(E211,2)=".1",1,IF(RIGHT(E211,2)=".2",2,0))</f>
        <v>0</v>
      </c>
      <c r="E211" s="4" t="s">
        <v>28</v>
      </c>
      <c r="F211" s="1" t="s">
        <v>20</v>
      </c>
      <c r="G211" s="1" t="n">
        <v>193.6</v>
      </c>
      <c r="H211" s="1" t="n">
        <v>185.8</v>
      </c>
      <c r="I211" s="1" t="n">
        <v>25.02</v>
      </c>
      <c r="J211" s="1" t="n">
        <v>0.359</v>
      </c>
      <c r="K211" s="1" t="n">
        <v>20.4</v>
      </c>
      <c r="L211" s="1" t="n">
        <v>0.0176</v>
      </c>
      <c r="M211" s="1" t="n">
        <v>-0.0693</v>
      </c>
      <c r="N211" s="1" t="n">
        <v>0.5</v>
      </c>
      <c r="O211" s="6" t="n">
        <v>6.014E-006</v>
      </c>
      <c r="P211" s="1" t="n">
        <v>0.6801</v>
      </c>
      <c r="Q211" s="1" t="n">
        <v>1.048</v>
      </c>
      <c r="R211" s="1" t="n">
        <v>2.889</v>
      </c>
    </row>
    <row r="212" customFormat="false" ht="12.8" hidden="false" customHeight="false" outlineLevel="0" collapsed="false">
      <c r="A212" s="1" t="n">
        <v>25</v>
      </c>
      <c r="B212" s="4" t="str">
        <f aca="false">IF(LEFT(E212,2)="S1","01.11.2024",IF(LEFT(E212,2)="S2","24.07.2025",IF(LEFT(E212,2)="S3","14.04.2025",IF(LEFT(E212,2)="S4","04.12.2025","04.12.2025"))))</f>
        <v>04.12.2025</v>
      </c>
      <c r="C212" s="4" t="str">
        <f aca="false">IF(LEFT(E212,2)="S5","Spritz","Standard")</f>
        <v>Standard</v>
      </c>
      <c r="D212" s="4" t="n">
        <f aca="false">IF(RIGHT(E212,2)=".1",1,IF(RIGHT(E212,2)=".2",2,0))</f>
        <v>0</v>
      </c>
      <c r="E212" s="4" t="s">
        <v>28</v>
      </c>
      <c r="F212" s="1" t="s">
        <v>20</v>
      </c>
      <c r="G212" s="1" t="n">
        <v>201.4</v>
      </c>
      <c r="H212" s="1" t="n">
        <v>193.6</v>
      </c>
      <c r="I212" s="1" t="n">
        <v>25.02</v>
      </c>
      <c r="J212" s="1" t="n">
        <v>0.369</v>
      </c>
      <c r="K212" s="1" t="n">
        <v>25.5</v>
      </c>
      <c r="L212" s="1" t="n">
        <v>0.01447</v>
      </c>
      <c r="M212" s="1" t="n">
        <v>-0.06821</v>
      </c>
      <c r="N212" s="1" t="n">
        <v>0.5</v>
      </c>
      <c r="O212" s="6" t="n">
        <v>6.182E-006</v>
      </c>
      <c r="P212" s="1" t="n">
        <v>0.8499</v>
      </c>
      <c r="Q212" s="1" t="n">
        <v>1.125</v>
      </c>
      <c r="R212" s="1" t="n">
        <v>2.678</v>
      </c>
    </row>
    <row r="213" customFormat="false" ht="12.8" hidden="false" customHeight="false" outlineLevel="0" collapsed="false">
      <c r="A213" s="1" t="n">
        <v>26</v>
      </c>
      <c r="B213" s="4" t="str">
        <f aca="false">IF(LEFT(E213,2)="S1","01.11.2024",IF(LEFT(E213,2)="S2","24.07.2025",IF(LEFT(E213,2)="S3","14.04.2025",IF(LEFT(E213,2)="S4","04.12.2025","04.12.2025"))))</f>
        <v>04.12.2025</v>
      </c>
      <c r="C213" s="4" t="str">
        <f aca="false">IF(LEFT(E213,2)="S5","Spritz","Standard")</f>
        <v>Standard</v>
      </c>
      <c r="D213" s="4" t="n">
        <f aca="false">IF(RIGHT(E213,2)=".1",1,IF(RIGHT(E213,2)=".2",2,0))</f>
        <v>0</v>
      </c>
      <c r="E213" s="4" t="s">
        <v>28</v>
      </c>
      <c r="F213" s="1" t="s">
        <v>20</v>
      </c>
      <c r="G213" s="1" t="n">
        <v>209.1</v>
      </c>
      <c r="H213" s="1" t="n">
        <v>201.3</v>
      </c>
      <c r="I213" s="1" t="n">
        <v>25.01</v>
      </c>
      <c r="J213" s="1" t="n">
        <v>0.3962</v>
      </c>
      <c r="K213" s="1" t="n">
        <v>31.86</v>
      </c>
      <c r="L213" s="1" t="n">
        <v>0.01244</v>
      </c>
      <c r="M213" s="1" t="n">
        <v>-0.06862</v>
      </c>
      <c r="N213" s="1" t="n">
        <v>0.5</v>
      </c>
      <c r="O213" s="6" t="n">
        <v>6.638E-006</v>
      </c>
      <c r="P213" s="1" t="n">
        <v>1.062</v>
      </c>
      <c r="Q213" s="1" t="n">
        <v>1.195</v>
      </c>
      <c r="R213" s="1" t="n">
        <v>3.978</v>
      </c>
    </row>
    <row r="214" customFormat="false" ht="12.8" hidden="false" customHeight="false" outlineLevel="0" collapsed="false">
      <c r="A214" s="1" t="n">
        <v>27</v>
      </c>
      <c r="B214" s="4" t="str">
        <f aca="false">IF(LEFT(E214,2)="S1","01.11.2024",IF(LEFT(E214,2)="S2","24.07.2025",IF(LEFT(E214,2)="S3","14.04.2025",IF(LEFT(E214,2)="S4","04.12.2025","04.12.2025"))))</f>
        <v>04.12.2025</v>
      </c>
      <c r="C214" s="4" t="str">
        <f aca="false">IF(LEFT(E214,2)="S5","Spritz","Standard")</f>
        <v>Standard</v>
      </c>
      <c r="D214" s="4" t="n">
        <f aca="false">IF(RIGHT(E214,2)=".1",1,IF(RIGHT(E214,2)=".2",2,0))</f>
        <v>0</v>
      </c>
      <c r="E214" s="4" t="s">
        <v>28</v>
      </c>
      <c r="F214" s="1" t="s">
        <v>20</v>
      </c>
      <c r="G214" s="1" t="n">
        <v>216.9</v>
      </c>
      <c r="H214" s="1" t="n">
        <v>209</v>
      </c>
      <c r="I214" s="1" t="n">
        <v>25.01</v>
      </c>
      <c r="J214" s="1" t="n">
        <v>0.4223</v>
      </c>
      <c r="K214" s="1" t="n">
        <v>39.81</v>
      </c>
      <c r="L214" s="1" t="n">
        <v>0.01061</v>
      </c>
      <c r="M214" s="1" t="n">
        <v>-0.06808</v>
      </c>
      <c r="N214" s="1" t="n">
        <v>0.5</v>
      </c>
      <c r="O214" s="6" t="n">
        <v>7.075E-006</v>
      </c>
      <c r="P214" s="1" t="n">
        <v>1.327</v>
      </c>
      <c r="Q214" s="1" t="n">
        <v>0.5961</v>
      </c>
      <c r="R214" s="1" t="n">
        <v>0.8881</v>
      </c>
    </row>
    <row r="215" customFormat="false" ht="12.8" hidden="false" customHeight="false" outlineLevel="0" collapsed="false">
      <c r="A215" s="1" t="n">
        <v>28</v>
      </c>
      <c r="B215" s="4" t="str">
        <f aca="false">IF(LEFT(E215,2)="S1","01.11.2024",IF(LEFT(E215,2)="S2","24.07.2025",IF(LEFT(E215,2)="S3","14.04.2025",IF(LEFT(E215,2)="S4","04.12.2025","04.12.2025"))))</f>
        <v>04.12.2025</v>
      </c>
      <c r="C215" s="4" t="str">
        <f aca="false">IF(LEFT(E215,2)="S5","Spritz","Standard")</f>
        <v>Standard</v>
      </c>
      <c r="D215" s="4" t="n">
        <f aca="false">IF(RIGHT(E215,2)=".1",1,IF(RIGHT(E215,2)=".2",2,0))</f>
        <v>0</v>
      </c>
      <c r="E215" s="4" t="s">
        <v>28</v>
      </c>
      <c r="F215" s="1" t="s">
        <v>20</v>
      </c>
      <c r="G215" s="1" t="n">
        <v>224.6</v>
      </c>
      <c r="H215" s="1" t="n">
        <v>216.8</v>
      </c>
      <c r="I215" s="1" t="n">
        <v>25.01</v>
      </c>
      <c r="J215" s="1" t="n">
        <v>0.5356</v>
      </c>
      <c r="K215" s="1" t="n">
        <v>49.75</v>
      </c>
      <c r="L215" s="1" t="n">
        <v>0.01077</v>
      </c>
      <c r="M215" s="1" t="n">
        <v>-0.06898</v>
      </c>
      <c r="N215" s="1" t="n">
        <v>0.5</v>
      </c>
      <c r="O215" s="6" t="n">
        <v>8.974E-006</v>
      </c>
      <c r="P215" s="1" t="n">
        <v>1.658</v>
      </c>
      <c r="Q215" s="1" t="n">
        <v>0.8014</v>
      </c>
      <c r="R215" s="1" t="n">
        <v>0.1708</v>
      </c>
    </row>
    <row r="216" customFormat="false" ht="12.8" hidden="false" customHeight="false" outlineLevel="0" collapsed="false">
      <c r="A216" s="1" t="n">
        <v>29</v>
      </c>
      <c r="B216" s="4" t="str">
        <f aca="false">IF(LEFT(E216,2)="S1","01.11.2024",IF(LEFT(E216,2)="S2","24.07.2025",IF(LEFT(E216,2)="S3","14.04.2025",IF(LEFT(E216,2)="S4","04.12.2025","04.12.2025"))))</f>
        <v>04.12.2025</v>
      </c>
      <c r="C216" s="4" t="str">
        <f aca="false">IF(LEFT(E216,2)="S5","Spritz","Standard")</f>
        <v>Standard</v>
      </c>
      <c r="D216" s="4" t="n">
        <f aca="false">IF(RIGHT(E216,2)=".1",1,IF(RIGHT(E216,2)=".2",2,0))</f>
        <v>0</v>
      </c>
      <c r="E216" s="4" t="s">
        <v>28</v>
      </c>
      <c r="F216" s="1" t="s">
        <v>20</v>
      </c>
      <c r="G216" s="1" t="n">
        <v>232.3</v>
      </c>
      <c r="H216" s="1" t="n">
        <v>224.5</v>
      </c>
      <c r="I216" s="1" t="n">
        <v>25.01</v>
      </c>
      <c r="J216" s="1" t="n">
        <v>0.6619</v>
      </c>
      <c r="K216" s="1" t="n">
        <v>62.17</v>
      </c>
      <c r="L216" s="1" t="n">
        <v>0.01065</v>
      </c>
      <c r="M216" s="1" t="n">
        <v>-0.06848</v>
      </c>
      <c r="N216" s="1" t="n">
        <v>0.5</v>
      </c>
      <c r="O216" s="6" t="n">
        <v>1.109E-005</v>
      </c>
      <c r="P216" s="1" t="n">
        <v>2.072</v>
      </c>
      <c r="Q216" s="1" t="n">
        <v>1.12</v>
      </c>
      <c r="R216" s="1" t="n">
        <v>2.402</v>
      </c>
    </row>
    <row r="217" customFormat="false" ht="12.8" hidden="false" customHeight="false" outlineLevel="0" collapsed="false">
      <c r="A217" s="1" t="n">
        <v>30</v>
      </c>
      <c r="B217" s="4" t="str">
        <f aca="false">IF(LEFT(E217,2)="S1","01.11.2024",IF(LEFT(E217,2)="S2","24.07.2025",IF(LEFT(E217,2)="S3","14.04.2025",IF(LEFT(E217,2)="S4","04.12.2025","04.12.2025"))))</f>
        <v>04.12.2025</v>
      </c>
      <c r="C217" s="4" t="str">
        <f aca="false">IF(LEFT(E217,2)="S5","Spritz","Standard")</f>
        <v>Standard</v>
      </c>
      <c r="D217" s="4" t="n">
        <f aca="false">IF(RIGHT(E217,2)=".1",1,IF(RIGHT(E217,2)=".2",2,0))</f>
        <v>0</v>
      </c>
      <c r="E217" s="4" t="s">
        <v>28</v>
      </c>
      <c r="F217" s="1" t="s">
        <v>20</v>
      </c>
      <c r="G217" s="1" t="n">
        <v>240.1</v>
      </c>
      <c r="H217" s="1" t="n">
        <v>232.3</v>
      </c>
      <c r="I217" s="1" t="n">
        <v>25.01</v>
      </c>
      <c r="J217" s="1" t="n">
        <v>0.6752</v>
      </c>
      <c r="K217" s="1" t="n">
        <v>77.69</v>
      </c>
      <c r="L217" s="6" t="n">
        <v>0.00869</v>
      </c>
      <c r="M217" s="1" t="n">
        <v>-0.06988</v>
      </c>
      <c r="N217" s="1" t="n">
        <v>0.5</v>
      </c>
      <c r="O217" s="6" t="n">
        <v>1.131E-005</v>
      </c>
      <c r="P217" s="1" t="n">
        <v>2.59</v>
      </c>
      <c r="Q217" s="1" t="n">
        <v>0.5797</v>
      </c>
      <c r="R217" s="1" t="n">
        <v>2.056</v>
      </c>
    </row>
    <row r="218" customFormat="false" ht="12.8" hidden="false" customHeight="false" outlineLevel="0" collapsed="false">
      <c r="A218" s="1" t="n">
        <v>31</v>
      </c>
      <c r="B218" s="4" t="str">
        <f aca="false">IF(LEFT(E218,2)="S1","01.11.2024",IF(LEFT(E218,2)="S2","24.07.2025",IF(LEFT(E218,2)="S3","14.04.2025",IF(LEFT(E218,2)="S4","04.12.2025","04.12.2025"))))</f>
        <v>04.12.2025</v>
      </c>
      <c r="C218" s="4" t="str">
        <f aca="false">IF(LEFT(E218,2)="S5","Spritz","Standard")</f>
        <v>Standard</v>
      </c>
      <c r="D218" s="4" t="n">
        <f aca="false">IF(RIGHT(E218,2)=".1",1,IF(RIGHT(E218,2)=".2",2,0))</f>
        <v>0</v>
      </c>
      <c r="E218" s="4" t="s">
        <v>28</v>
      </c>
      <c r="F218" s="1" t="s">
        <v>20</v>
      </c>
      <c r="G218" s="1" t="n">
        <v>247.8</v>
      </c>
      <c r="H218" s="1" t="n">
        <v>240</v>
      </c>
      <c r="I218" s="1" t="n">
        <v>25.01</v>
      </c>
      <c r="J218" s="1" t="n">
        <v>0.785</v>
      </c>
      <c r="K218" s="1" t="n">
        <v>97.08</v>
      </c>
      <c r="L218" s="6" t="n">
        <v>0.008086</v>
      </c>
      <c r="M218" s="1" t="n">
        <v>-0.06945</v>
      </c>
      <c r="N218" s="1" t="n">
        <v>0.5</v>
      </c>
      <c r="O218" s="6" t="n">
        <v>1.315E-005</v>
      </c>
      <c r="P218" s="1" t="n">
        <v>3.236</v>
      </c>
      <c r="Q218" s="1" t="n">
        <v>1.247</v>
      </c>
      <c r="R218" s="1" t="n">
        <v>0.03179</v>
      </c>
    </row>
    <row r="219" customFormat="false" ht="12.8" hidden="false" customHeight="false" outlineLevel="0" collapsed="false">
      <c r="A219" s="1" t="n">
        <v>1</v>
      </c>
      <c r="B219" s="4" t="str">
        <f aca="false">IF(LEFT(E219,2)="S1","01.11.2024",IF(LEFT(E219,2)="S2","24.07.2025",IF(LEFT(E219,2)="S3","14.04.2025",IF(LEFT(E219,2)="S4","04.12.2025","04.12.2025"))))</f>
        <v>04.12.2025</v>
      </c>
      <c r="C219" s="4" t="str">
        <f aca="false">IF(LEFT(E219,2)="S5","Spritz","Standard")</f>
        <v>Standard</v>
      </c>
      <c r="D219" s="4" t="n">
        <v>1</v>
      </c>
      <c r="E219" s="4" t="s">
        <v>29</v>
      </c>
      <c r="F219" s="1" t="s">
        <v>20</v>
      </c>
      <c r="G219" s="1" t="n">
        <v>15.26</v>
      </c>
      <c r="H219" s="1" t="n">
        <v>7.74</v>
      </c>
      <c r="I219" s="1" t="n">
        <v>25.07</v>
      </c>
      <c r="J219" s="1" t="n">
        <v>0.04101</v>
      </c>
      <c r="K219" s="1" t="n">
        <v>0.1213</v>
      </c>
      <c r="L219" s="1" t="n">
        <v>0.3382</v>
      </c>
      <c r="M219" s="1" t="n">
        <v>-0.08177</v>
      </c>
      <c r="N219" s="1" t="n">
        <v>0.5</v>
      </c>
      <c r="O219" s="6" t="n">
        <v>6.871E-007</v>
      </c>
      <c r="P219" s="6" t="n">
        <v>0.004042</v>
      </c>
      <c r="Q219" s="1" t="n">
        <v>0.9339</v>
      </c>
      <c r="R219" s="1" t="n">
        <v>0.2834</v>
      </c>
    </row>
    <row r="220" customFormat="false" ht="12.8" hidden="false" customHeight="false" outlineLevel="0" collapsed="false">
      <c r="A220" s="1" t="n">
        <v>2</v>
      </c>
      <c r="B220" s="4" t="str">
        <f aca="false">IF(LEFT(E220,2)="S1","01.11.2024",IF(LEFT(E220,2)="S2","24.07.2025",IF(LEFT(E220,2)="S3","14.04.2025",IF(LEFT(E220,2)="S4","04.12.2025","04.12.2025"))))</f>
        <v>04.12.2025</v>
      </c>
      <c r="C220" s="4" t="str">
        <f aca="false">IF(LEFT(E220,2)="S5","Spritz","Standard")</f>
        <v>Standard</v>
      </c>
      <c r="D220" s="4" t="n">
        <v>1</v>
      </c>
      <c r="E220" s="4" t="s">
        <v>29</v>
      </c>
      <c r="F220" s="1" t="s">
        <v>20</v>
      </c>
      <c r="G220" s="1" t="n">
        <v>23</v>
      </c>
      <c r="H220" s="1" t="n">
        <v>15.49</v>
      </c>
      <c r="I220" s="1" t="n">
        <v>25.07</v>
      </c>
      <c r="J220" s="1" t="n">
        <v>0.0488</v>
      </c>
      <c r="K220" s="1" t="n">
        <v>0.1515</v>
      </c>
      <c r="L220" s="1" t="n">
        <v>0.322</v>
      </c>
      <c r="M220" s="1" t="n">
        <v>-0.08529</v>
      </c>
      <c r="N220" s="1" t="n">
        <v>0.5</v>
      </c>
      <c r="O220" s="6" t="n">
        <v>8.175E-007</v>
      </c>
      <c r="P220" s="6" t="n">
        <v>0.005052</v>
      </c>
      <c r="Q220" s="1" t="n">
        <v>0.9665</v>
      </c>
      <c r="R220" s="1" t="n">
        <v>0.3195</v>
      </c>
    </row>
    <row r="221" customFormat="false" ht="12.8" hidden="false" customHeight="false" outlineLevel="0" collapsed="false">
      <c r="A221" s="1" t="n">
        <v>3</v>
      </c>
      <c r="B221" s="4" t="str">
        <f aca="false">IF(LEFT(E221,2)="S1","01.11.2024",IF(LEFT(E221,2)="S2","24.07.2025",IF(LEFT(E221,2)="S3","14.04.2025",IF(LEFT(E221,2)="S4","04.12.2025","04.12.2025"))))</f>
        <v>04.12.2025</v>
      </c>
      <c r="C221" s="4" t="str">
        <f aca="false">IF(LEFT(E221,2)="S5","Spritz","Standard")</f>
        <v>Standard</v>
      </c>
      <c r="D221" s="4" t="n">
        <v>1</v>
      </c>
      <c r="E221" s="4" t="s">
        <v>29</v>
      </c>
      <c r="F221" s="1" t="s">
        <v>20</v>
      </c>
      <c r="G221" s="1" t="n">
        <v>30.74</v>
      </c>
      <c r="H221" s="1" t="n">
        <v>23.22</v>
      </c>
      <c r="I221" s="1" t="n">
        <v>25.07</v>
      </c>
      <c r="J221" s="1" t="n">
        <v>0.04485</v>
      </c>
      <c r="K221" s="1" t="n">
        <v>0.1894</v>
      </c>
      <c r="L221" s="1" t="n">
        <v>0.2368</v>
      </c>
      <c r="M221" s="1" t="n">
        <v>-0.08969</v>
      </c>
      <c r="N221" s="1" t="n">
        <v>0.5</v>
      </c>
      <c r="O221" s="6" t="n">
        <v>7.513E-007</v>
      </c>
      <c r="P221" s="6" t="n">
        <v>0.006312</v>
      </c>
      <c r="Q221" s="1" t="n">
        <v>1.064</v>
      </c>
      <c r="R221" s="1" t="n">
        <v>0.3645</v>
      </c>
    </row>
    <row r="222" customFormat="false" ht="12.8" hidden="false" customHeight="false" outlineLevel="0" collapsed="false">
      <c r="A222" s="1" t="n">
        <v>4</v>
      </c>
      <c r="B222" s="4" t="str">
        <f aca="false">IF(LEFT(E222,2)="S1","01.11.2024",IF(LEFT(E222,2)="S2","24.07.2025",IF(LEFT(E222,2)="S3","14.04.2025",IF(LEFT(E222,2)="S4","04.12.2025","04.12.2025"))))</f>
        <v>04.12.2025</v>
      </c>
      <c r="C222" s="4" t="str">
        <f aca="false">IF(LEFT(E222,2)="S5","Spritz","Standard")</f>
        <v>Standard</v>
      </c>
      <c r="D222" s="4" t="n">
        <v>1</v>
      </c>
      <c r="E222" s="4" t="s">
        <v>29</v>
      </c>
      <c r="F222" s="1" t="s">
        <v>20</v>
      </c>
      <c r="G222" s="1" t="n">
        <v>38.49</v>
      </c>
      <c r="H222" s="1" t="n">
        <v>30.97</v>
      </c>
      <c r="I222" s="1" t="n">
        <v>25.07</v>
      </c>
      <c r="J222" s="1" t="n">
        <v>0.05316</v>
      </c>
      <c r="K222" s="1" t="n">
        <v>0.2367</v>
      </c>
      <c r="L222" s="1" t="n">
        <v>0.2246</v>
      </c>
      <c r="M222" s="1" t="n">
        <v>-0.08891</v>
      </c>
      <c r="N222" s="1" t="n">
        <v>0.5</v>
      </c>
      <c r="O222" s="6" t="n">
        <v>8.906E-007</v>
      </c>
      <c r="P222" s="6" t="n">
        <v>0.007889</v>
      </c>
      <c r="Q222" s="1" t="n">
        <v>0.9771</v>
      </c>
      <c r="R222" s="1" t="n">
        <v>0.4209</v>
      </c>
    </row>
    <row r="223" customFormat="false" ht="12.8" hidden="false" customHeight="false" outlineLevel="0" collapsed="false">
      <c r="A223" s="1" t="n">
        <v>5</v>
      </c>
      <c r="B223" s="4" t="str">
        <f aca="false">IF(LEFT(E223,2)="S1","01.11.2024",IF(LEFT(E223,2)="S2","24.07.2025",IF(LEFT(E223,2)="S3","14.04.2025",IF(LEFT(E223,2)="S4","04.12.2025","04.12.2025"))))</f>
        <v>04.12.2025</v>
      </c>
      <c r="C223" s="4" t="str">
        <f aca="false">IF(LEFT(E223,2)="S5","Spritz","Standard")</f>
        <v>Standard</v>
      </c>
      <c r="D223" s="4" t="n">
        <v>1</v>
      </c>
      <c r="E223" s="4" t="s">
        <v>29</v>
      </c>
      <c r="F223" s="1" t="s">
        <v>20</v>
      </c>
      <c r="G223" s="1" t="n">
        <v>46.23</v>
      </c>
      <c r="H223" s="1" t="n">
        <v>38.71</v>
      </c>
      <c r="I223" s="1" t="n">
        <v>25.07</v>
      </c>
      <c r="J223" s="1" t="n">
        <v>0.05839</v>
      </c>
      <c r="K223" s="1" t="n">
        <v>0.2957</v>
      </c>
      <c r="L223" s="1" t="n">
        <v>0.1975</v>
      </c>
      <c r="M223" s="1" t="n">
        <v>-0.09017</v>
      </c>
      <c r="N223" s="1" t="n">
        <v>0.5</v>
      </c>
      <c r="O223" s="6" t="n">
        <v>9.782E-007</v>
      </c>
      <c r="P223" s="6" t="n">
        <v>0.009857</v>
      </c>
      <c r="Q223" s="1" t="n">
        <v>1.104</v>
      </c>
      <c r="R223" s="1" t="n">
        <v>0.4913</v>
      </c>
    </row>
    <row r="224" customFormat="false" ht="12.8" hidden="false" customHeight="false" outlineLevel="0" collapsed="false">
      <c r="A224" s="1" t="n">
        <v>6</v>
      </c>
      <c r="B224" s="4" t="str">
        <f aca="false">IF(LEFT(E224,2)="S1","01.11.2024",IF(LEFT(E224,2)="S2","24.07.2025",IF(LEFT(E224,2)="S3","14.04.2025",IF(LEFT(E224,2)="S4","04.12.2025","04.12.2025"))))</f>
        <v>04.12.2025</v>
      </c>
      <c r="C224" s="4" t="str">
        <f aca="false">IF(LEFT(E224,2)="S5","Spritz","Standard")</f>
        <v>Standard</v>
      </c>
      <c r="D224" s="4" t="n">
        <v>1</v>
      </c>
      <c r="E224" s="4" t="s">
        <v>29</v>
      </c>
      <c r="F224" s="1" t="s">
        <v>20</v>
      </c>
      <c r="G224" s="1" t="n">
        <v>53.97</v>
      </c>
      <c r="H224" s="1" t="n">
        <v>46.45</v>
      </c>
      <c r="I224" s="1" t="n">
        <v>25.08</v>
      </c>
      <c r="J224" s="1" t="n">
        <v>0.06354</v>
      </c>
      <c r="K224" s="1" t="n">
        <v>0.3695</v>
      </c>
      <c r="L224" s="1" t="n">
        <v>0.172</v>
      </c>
      <c r="M224" s="1" t="n">
        <v>-0.09078</v>
      </c>
      <c r="N224" s="1" t="n">
        <v>0.5</v>
      </c>
      <c r="O224" s="6" t="n">
        <v>1.064E-006</v>
      </c>
      <c r="P224" s="1" t="n">
        <v>0.01232</v>
      </c>
      <c r="Q224" s="1" t="n">
        <v>0.9873</v>
      </c>
      <c r="R224" s="1" t="n">
        <v>0.5792</v>
      </c>
    </row>
    <row r="225" customFormat="false" ht="12.8" hidden="false" customHeight="false" outlineLevel="0" collapsed="false">
      <c r="A225" s="1" t="n">
        <v>7</v>
      </c>
      <c r="B225" s="4" t="str">
        <f aca="false">IF(LEFT(E225,2)="S1","01.11.2024",IF(LEFT(E225,2)="S2","24.07.2025",IF(LEFT(E225,2)="S3","14.04.2025",IF(LEFT(E225,2)="S4","04.12.2025","04.12.2025"))))</f>
        <v>04.12.2025</v>
      </c>
      <c r="C225" s="4" t="str">
        <f aca="false">IF(LEFT(E225,2)="S5","Spritz","Standard")</f>
        <v>Standard</v>
      </c>
      <c r="D225" s="4" t="n">
        <v>1</v>
      </c>
      <c r="E225" s="4" t="s">
        <v>29</v>
      </c>
      <c r="F225" s="1" t="s">
        <v>20</v>
      </c>
      <c r="G225" s="1" t="n">
        <v>61.71</v>
      </c>
      <c r="H225" s="1" t="n">
        <v>54.2</v>
      </c>
      <c r="I225" s="1" t="n">
        <v>25.08</v>
      </c>
      <c r="J225" s="1" t="n">
        <v>0.06532</v>
      </c>
      <c r="K225" s="1" t="n">
        <v>0.4618</v>
      </c>
      <c r="L225" s="1" t="n">
        <v>0.1415</v>
      </c>
      <c r="M225" s="1" t="n">
        <v>-0.09207</v>
      </c>
      <c r="N225" s="1" t="n">
        <v>0.5</v>
      </c>
      <c r="O225" s="6" t="n">
        <v>1.094E-006</v>
      </c>
      <c r="P225" s="1" t="n">
        <v>0.01539</v>
      </c>
      <c r="Q225" s="1" t="n">
        <v>1.031</v>
      </c>
      <c r="R225" s="1" t="n">
        <v>0.6892</v>
      </c>
    </row>
    <row r="226" customFormat="false" ht="12.8" hidden="false" customHeight="false" outlineLevel="0" collapsed="false">
      <c r="A226" s="1" t="n">
        <v>8</v>
      </c>
      <c r="B226" s="4" t="str">
        <f aca="false">IF(LEFT(E226,2)="S1","01.11.2024",IF(LEFT(E226,2)="S2","24.07.2025",IF(LEFT(E226,2)="S3","14.04.2025",IF(LEFT(E226,2)="S4","04.12.2025","04.12.2025"))))</f>
        <v>04.12.2025</v>
      </c>
      <c r="C226" s="4" t="str">
        <f aca="false">IF(LEFT(E226,2)="S5","Spritz","Standard")</f>
        <v>Standard</v>
      </c>
      <c r="D226" s="4" t="n">
        <v>1</v>
      </c>
      <c r="E226" s="4" t="s">
        <v>29</v>
      </c>
      <c r="F226" s="1" t="s">
        <v>20</v>
      </c>
      <c r="G226" s="1" t="n">
        <v>69.45</v>
      </c>
      <c r="H226" s="1" t="n">
        <v>61.94</v>
      </c>
      <c r="I226" s="1" t="n">
        <v>25.07</v>
      </c>
      <c r="J226" s="1" t="n">
        <v>0.06978</v>
      </c>
      <c r="K226" s="1" t="n">
        <v>0.577</v>
      </c>
      <c r="L226" s="1" t="n">
        <v>0.1209</v>
      </c>
      <c r="M226" s="1" t="n">
        <v>-0.09177</v>
      </c>
      <c r="N226" s="1" t="n">
        <v>0.5</v>
      </c>
      <c r="O226" s="6" t="n">
        <v>1.169E-006</v>
      </c>
      <c r="P226" s="1" t="n">
        <v>0.01923</v>
      </c>
      <c r="Q226" s="1" t="n">
        <v>0.853</v>
      </c>
      <c r="R226" s="1" t="n">
        <v>0.8266</v>
      </c>
    </row>
    <row r="227" customFormat="false" ht="12.8" hidden="false" customHeight="false" outlineLevel="0" collapsed="false">
      <c r="A227" s="1" t="n">
        <v>9</v>
      </c>
      <c r="B227" s="4" t="str">
        <f aca="false">IF(LEFT(E227,2)="S1","01.11.2024",IF(LEFT(E227,2)="S2","24.07.2025",IF(LEFT(E227,2)="S3","14.04.2025",IF(LEFT(E227,2)="S4","04.12.2025","04.12.2025"))))</f>
        <v>04.12.2025</v>
      </c>
      <c r="C227" s="4" t="str">
        <f aca="false">IF(LEFT(E227,2)="S5","Spritz","Standard")</f>
        <v>Standard</v>
      </c>
      <c r="D227" s="4" t="n">
        <v>1</v>
      </c>
      <c r="E227" s="4" t="s">
        <v>29</v>
      </c>
      <c r="F227" s="1" t="s">
        <v>20</v>
      </c>
      <c r="G227" s="1" t="n">
        <v>77.19</v>
      </c>
      <c r="H227" s="1" t="n">
        <v>69.68</v>
      </c>
      <c r="I227" s="1" t="n">
        <v>25.06</v>
      </c>
      <c r="J227" s="1" t="n">
        <v>0.07058</v>
      </c>
      <c r="K227" s="1" t="n">
        <v>0.721</v>
      </c>
      <c r="L227" s="1" t="n">
        <v>0.09789</v>
      </c>
      <c r="M227" s="1" t="n">
        <v>-0.09245</v>
      </c>
      <c r="N227" s="1" t="n">
        <v>0.5</v>
      </c>
      <c r="O227" s="6" t="n">
        <v>1.182E-006</v>
      </c>
      <c r="P227" s="1" t="n">
        <v>0.02404</v>
      </c>
      <c r="Q227" s="1" t="n">
        <v>0.9898</v>
      </c>
      <c r="R227" s="1" t="n">
        <v>0.9982</v>
      </c>
    </row>
    <row r="228" customFormat="false" ht="12.8" hidden="false" customHeight="false" outlineLevel="0" collapsed="false">
      <c r="A228" s="1" t="n">
        <v>10</v>
      </c>
      <c r="B228" s="4" t="str">
        <f aca="false">IF(LEFT(E228,2)="S1","01.11.2024",IF(LEFT(E228,2)="S2","24.07.2025",IF(LEFT(E228,2)="S3","14.04.2025",IF(LEFT(E228,2)="S4","04.12.2025","04.12.2025"))))</f>
        <v>04.12.2025</v>
      </c>
      <c r="C228" s="4" t="str">
        <f aca="false">IF(LEFT(E228,2)="S5","Spritz","Standard")</f>
        <v>Standard</v>
      </c>
      <c r="D228" s="4" t="n">
        <v>1</v>
      </c>
      <c r="E228" s="4" t="s">
        <v>29</v>
      </c>
      <c r="F228" s="1" t="s">
        <v>20</v>
      </c>
      <c r="G228" s="1" t="n">
        <v>84.94</v>
      </c>
      <c r="H228" s="1" t="n">
        <v>77.42</v>
      </c>
      <c r="I228" s="1" t="n">
        <v>25.06</v>
      </c>
      <c r="J228" s="1" t="n">
        <v>0.0754</v>
      </c>
      <c r="K228" s="1" t="n">
        <v>0.9011</v>
      </c>
      <c r="L228" s="1" t="n">
        <v>0.08368</v>
      </c>
      <c r="M228" s="1" t="n">
        <v>-0.09363</v>
      </c>
      <c r="N228" s="1" t="n">
        <v>0.5</v>
      </c>
      <c r="O228" s="6" t="n">
        <v>1.263E-006</v>
      </c>
      <c r="P228" s="1" t="n">
        <v>0.03004</v>
      </c>
      <c r="Q228" s="1" t="n">
        <v>0.9162</v>
      </c>
      <c r="R228" s="1" t="n">
        <v>1.213</v>
      </c>
    </row>
    <row r="229" customFormat="false" ht="12.8" hidden="false" customHeight="false" outlineLevel="0" collapsed="false">
      <c r="A229" s="1" t="n">
        <v>11</v>
      </c>
      <c r="B229" s="4" t="str">
        <f aca="false">IF(LEFT(E229,2)="S1","01.11.2024",IF(LEFT(E229,2)="S2","24.07.2025",IF(LEFT(E229,2)="S3","14.04.2025",IF(LEFT(E229,2)="S4","04.12.2025","04.12.2025"))))</f>
        <v>04.12.2025</v>
      </c>
      <c r="C229" s="4" t="str">
        <f aca="false">IF(LEFT(E229,2)="S5","Spritz","Standard")</f>
        <v>Standard</v>
      </c>
      <c r="D229" s="4" t="n">
        <v>1</v>
      </c>
      <c r="E229" s="4" t="s">
        <v>29</v>
      </c>
      <c r="F229" s="1" t="s">
        <v>20</v>
      </c>
      <c r="G229" s="1" t="n">
        <v>92.68</v>
      </c>
      <c r="H229" s="1" t="n">
        <v>85.16</v>
      </c>
      <c r="I229" s="1" t="n">
        <v>25.05</v>
      </c>
      <c r="J229" s="1" t="n">
        <v>0.0875</v>
      </c>
      <c r="K229" s="1" t="n">
        <v>1.126</v>
      </c>
      <c r="L229" s="1" t="n">
        <v>0.07771</v>
      </c>
      <c r="M229" s="1" t="n">
        <v>-0.09545</v>
      </c>
      <c r="N229" s="1" t="n">
        <v>0.5</v>
      </c>
      <c r="O229" s="6" t="n">
        <v>1.466E-006</v>
      </c>
      <c r="P229" s="1" t="n">
        <v>0.03753</v>
      </c>
      <c r="Q229" s="1" t="n">
        <v>1.012</v>
      </c>
      <c r="R229" s="1" t="n">
        <v>1.481</v>
      </c>
    </row>
    <row r="230" customFormat="false" ht="12.8" hidden="false" customHeight="false" outlineLevel="0" collapsed="false">
      <c r="A230" s="1" t="n">
        <v>12</v>
      </c>
      <c r="B230" s="4" t="str">
        <f aca="false">IF(LEFT(E230,2)="S1","01.11.2024",IF(LEFT(E230,2)="S2","24.07.2025",IF(LEFT(E230,2)="S3","14.04.2025",IF(LEFT(E230,2)="S4","04.12.2025","04.12.2025"))))</f>
        <v>04.12.2025</v>
      </c>
      <c r="C230" s="4" t="str">
        <f aca="false">IF(LEFT(E230,2)="S5","Spritz","Standard")</f>
        <v>Standard</v>
      </c>
      <c r="D230" s="4" t="n">
        <v>1</v>
      </c>
      <c r="E230" s="4" t="s">
        <v>29</v>
      </c>
      <c r="F230" s="1" t="s">
        <v>20</v>
      </c>
      <c r="G230" s="1" t="n">
        <v>100.4</v>
      </c>
      <c r="H230" s="1" t="n">
        <v>92.9</v>
      </c>
      <c r="I230" s="1" t="n">
        <v>25.05</v>
      </c>
      <c r="J230" s="1" t="n">
        <v>0.0796</v>
      </c>
      <c r="K230" s="1" t="n">
        <v>1.407</v>
      </c>
      <c r="L230" s="1" t="n">
        <v>0.05657</v>
      </c>
      <c r="M230" s="1" t="n">
        <v>-0.09606</v>
      </c>
      <c r="N230" s="1" t="n">
        <v>0.5</v>
      </c>
      <c r="O230" s="6" t="n">
        <v>1.334E-006</v>
      </c>
      <c r="P230" s="1" t="n">
        <v>0.04691</v>
      </c>
      <c r="Q230" s="1" t="n">
        <v>0.9536</v>
      </c>
      <c r="R230" s="1" t="n">
        <v>1.816</v>
      </c>
    </row>
    <row r="231" customFormat="false" ht="12.8" hidden="false" customHeight="false" outlineLevel="0" collapsed="false">
      <c r="A231" s="1" t="n">
        <v>13</v>
      </c>
      <c r="B231" s="4" t="str">
        <f aca="false">IF(LEFT(E231,2)="S1","01.11.2024",IF(LEFT(E231,2)="S2","24.07.2025",IF(LEFT(E231,2)="S3","14.04.2025",IF(LEFT(E231,2)="S4","04.12.2025","04.12.2025"))))</f>
        <v>04.12.2025</v>
      </c>
      <c r="C231" s="4" t="str">
        <f aca="false">IF(LEFT(E231,2)="S5","Spritz","Standard")</f>
        <v>Standard</v>
      </c>
      <c r="D231" s="4" t="n">
        <v>1</v>
      </c>
      <c r="E231" s="4" t="s">
        <v>29</v>
      </c>
      <c r="F231" s="1" t="s">
        <v>20</v>
      </c>
      <c r="G231" s="1" t="n">
        <v>108.2</v>
      </c>
      <c r="H231" s="1" t="n">
        <v>100.6</v>
      </c>
      <c r="I231" s="1" t="n">
        <v>25.05</v>
      </c>
      <c r="J231" s="1" t="n">
        <v>0.08902</v>
      </c>
      <c r="K231" s="1" t="n">
        <v>1.758</v>
      </c>
      <c r="L231" s="1" t="n">
        <v>0.05063</v>
      </c>
      <c r="M231" s="1" t="n">
        <v>-0.09734</v>
      </c>
      <c r="N231" s="1" t="n">
        <v>0.5</v>
      </c>
      <c r="O231" s="6" t="n">
        <v>1.491E-006</v>
      </c>
      <c r="P231" s="1" t="n">
        <v>0.05861</v>
      </c>
      <c r="Q231" s="1" t="n">
        <v>0.8032</v>
      </c>
      <c r="R231" s="1" t="n">
        <v>2.234</v>
      </c>
    </row>
    <row r="232" customFormat="false" ht="12.8" hidden="false" customHeight="false" outlineLevel="0" collapsed="false">
      <c r="A232" s="1" t="n">
        <v>14</v>
      </c>
      <c r="B232" s="4" t="str">
        <f aca="false">IF(LEFT(E232,2)="S1","01.11.2024",IF(LEFT(E232,2)="S2","24.07.2025",IF(LEFT(E232,2)="S3","14.04.2025",IF(LEFT(E232,2)="S4","04.12.2025","04.12.2025"))))</f>
        <v>04.12.2025</v>
      </c>
      <c r="C232" s="4" t="str">
        <f aca="false">IF(LEFT(E232,2)="S5","Spritz","Standard")</f>
        <v>Standard</v>
      </c>
      <c r="D232" s="4" t="n">
        <v>1</v>
      </c>
      <c r="E232" s="4" t="s">
        <v>29</v>
      </c>
      <c r="F232" s="1" t="s">
        <v>20</v>
      </c>
      <c r="G232" s="1" t="n">
        <v>115.9</v>
      </c>
      <c r="H232" s="1" t="n">
        <v>108.4</v>
      </c>
      <c r="I232" s="1" t="n">
        <v>25.04</v>
      </c>
      <c r="J232" s="1" t="n">
        <v>0.1012</v>
      </c>
      <c r="K232" s="1" t="n">
        <v>2.197</v>
      </c>
      <c r="L232" s="1" t="n">
        <v>0.04604</v>
      </c>
      <c r="M232" s="1" t="n">
        <v>-0.09806</v>
      </c>
      <c r="N232" s="1" t="n">
        <v>0.5</v>
      </c>
      <c r="O232" s="6" t="n">
        <v>1.695E-006</v>
      </c>
      <c r="P232" s="1" t="n">
        <v>0.07324</v>
      </c>
      <c r="Q232" s="1" t="n">
        <v>0.9869</v>
      </c>
      <c r="R232" s="1" t="n">
        <v>2.757</v>
      </c>
    </row>
    <row r="233" customFormat="false" ht="12.8" hidden="false" customHeight="false" outlineLevel="0" collapsed="false">
      <c r="A233" s="1" t="n">
        <v>15</v>
      </c>
      <c r="B233" s="4" t="str">
        <f aca="false">IF(LEFT(E233,2)="S1","01.11.2024",IF(LEFT(E233,2)="S2","24.07.2025",IF(LEFT(E233,2)="S3","14.04.2025",IF(LEFT(E233,2)="S4","04.12.2025","04.12.2025"))))</f>
        <v>04.12.2025</v>
      </c>
      <c r="C233" s="4" t="str">
        <f aca="false">IF(LEFT(E233,2)="S5","Spritz","Standard")</f>
        <v>Standard</v>
      </c>
      <c r="D233" s="4" t="n">
        <v>1</v>
      </c>
      <c r="E233" s="4" t="s">
        <v>29</v>
      </c>
      <c r="F233" s="1" t="s">
        <v>20</v>
      </c>
      <c r="G233" s="1" t="n">
        <v>123.6</v>
      </c>
      <c r="H233" s="1" t="n">
        <v>116.1</v>
      </c>
      <c r="I233" s="1" t="n">
        <v>25.04</v>
      </c>
      <c r="J233" s="1" t="n">
        <v>0.1475</v>
      </c>
      <c r="K233" s="1" t="n">
        <v>2.746</v>
      </c>
      <c r="L233" s="1" t="n">
        <v>0.05373</v>
      </c>
      <c r="M233" s="1" t="n">
        <v>-0.1001</v>
      </c>
      <c r="N233" s="1" t="n">
        <v>0.5</v>
      </c>
      <c r="O233" s="6" t="n">
        <v>2.472E-006</v>
      </c>
      <c r="P233" s="1" t="n">
        <v>0.09153</v>
      </c>
      <c r="Q233" s="1" t="n">
        <v>0.6873</v>
      </c>
      <c r="R233" s="1" t="n">
        <v>3.411</v>
      </c>
    </row>
    <row r="234" customFormat="false" ht="12.8" hidden="false" customHeight="false" outlineLevel="0" collapsed="false">
      <c r="A234" s="1" t="n">
        <v>16</v>
      </c>
      <c r="B234" s="4" t="str">
        <f aca="false">IF(LEFT(E234,2)="S1","01.11.2024",IF(LEFT(E234,2)="S2","24.07.2025",IF(LEFT(E234,2)="S3","14.04.2025",IF(LEFT(E234,2)="S4","04.12.2025","04.12.2025"))))</f>
        <v>04.12.2025</v>
      </c>
      <c r="C234" s="4" t="str">
        <f aca="false">IF(LEFT(E234,2)="S5","Spritz","Standard")</f>
        <v>Standard</v>
      </c>
      <c r="D234" s="4" t="n">
        <v>1</v>
      </c>
      <c r="E234" s="4" t="s">
        <v>29</v>
      </c>
      <c r="F234" s="1" t="s">
        <v>20</v>
      </c>
      <c r="G234" s="1" t="n">
        <v>131.4</v>
      </c>
      <c r="H234" s="1" t="n">
        <v>123.9</v>
      </c>
      <c r="I234" s="1" t="n">
        <v>25.03</v>
      </c>
      <c r="J234" s="1" t="n">
        <v>0.2413</v>
      </c>
      <c r="K234" s="1" t="n">
        <v>3.431</v>
      </c>
      <c r="L234" s="1" t="n">
        <v>0.07034</v>
      </c>
      <c r="M234" s="1" t="n">
        <v>-0.1021</v>
      </c>
      <c r="N234" s="1" t="n">
        <v>0.5</v>
      </c>
      <c r="O234" s="6" t="n">
        <v>4.043E-006</v>
      </c>
      <c r="P234" s="1" t="n">
        <v>0.1144</v>
      </c>
      <c r="Q234" s="1" t="n">
        <v>0.8729</v>
      </c>
      <c r="R234" s="1" t="n">
        <v>4.228</v>
      </c>
    </row>
    <row r="235" customFormat="false" ht="12.8" hidden="false" customHeight="false" outlineLevel="0" collapsed="false">
      <c r="A235" s="1" t="n">
        <v>17</v>
      </c>
      <c r="B235" s="4" t="str">
        <f aca="false">IF(LEFT(E235,2)="S1","01.11.2024",IF(LEFT(E235,2)="S2","24.07.2025",IF(LEFT(E235,2)="S3","14.04.2025",IF(LEFT(E235,2)="S4","04.12.2025","04.12.2025"))))</f>
        <v>04.12.2025</v>
      </c>
      <c r="C235" s="4" t="str">
        <f aca="false">IF(LEFT(E235,2)="S5","Spritz","Standard")</f>
        <v>Standard</v>
      </c>
      <c r="D235" s="4" t="n">
        <v>1</v>
      </c>
      <c r="E235" s="4" t="s">
        <v>29</v>
      </c>
      <c r="F235" s="1" t="s">
        <v>20</v>
      </c>
      <c r="G235" s="1" t="n">
        <v>139.1</v>
      </c>
      <c r="H235" s="1" t="n">
        <v>131.6</v>
      </c>
      <c r="I235" s="1" t="n">
        <v>25.03</v>
      </c>
      <c r="J235" s="1" t="n">
        <v>0.1977</v>
      </c>
      <c r="K235" s="1" t="n">
        <v>4.288</v>
      </c>
      <c r="L235" s="1" t="n">
        <v>0.04611</v>
      </c>
      <c r="M235" s="1" t="n">
        <v>-0.1048</v>
      </c>
      <c r="N235" s="1" t="n">
        <v>0.5</v>
      </c>
      <c r="O235" s="6" t="n">
        <v>3.312E-006</v>
      </c>
      <c r="P235" s="1" t="n">
        <v>0.1429</v>
      </c>
      <c r="Q235" s="1" t="n">
        <v>1.329</v>
      </c>
      <c r="R235" s="1" t="n">
        <v>5.249</v>
      </c>
    </row>
    <row r="236" customFormat="false" ht="12.8" hidden="false" customHeight="false" outlineLevel="0" collapsed="false">
      <c r="A236" s="1" t="n">
        <v>18</v>
      </c>
      <c r="B236" s="4" t="str">
        <f aca="false">IF(LEFT(E236,2)="S1","01.11.2024",IF(LEFT(E236,2)="S2","24.07.2025",IF(LEFT(E236,2)="S3","14.04.2025",IF(LEFT(E236,2)="S4","04.12.2025","04.12.2025"))))</f>
        <v>04.12.2025</v>
      </c>
      <c r="C236" s="4" t="str">
        <f aca="false">IF(LEFT(E236,2)="S5","Spritz","Standard")</f>
        <v>Standard</v>
      </c>
      <c r="D236" s="4" t="n">
        <v>1</v>
      </c>
      <c r="E236" s="4" t="s">
        <v>29</v>
      </c>
      <c r="F236" s="1" t="s">
        <v>20</v>
      </c>
      <c r="G236" s="1" t="n">
        <v>146.9</v>
      </c>
      <c r="H236" s="1" t="n">
        <v>139.4</v>
      </c>
      <c r="I236" s="1" t="n">
        <v>25.03</v>
      </c>
      <c r="J236" s="1" t="n">
        <v>0.2068</v>
      </c>
      <c r="K236" s="1" t="n">
        <v>5.358</v>
      </c>
      <c r="L236" s="1" t="n">
        <v>0.0386</v>
      </c>
      <c r="M236" s="1" t="n">
        <v>-0.1096</v>
      </c>
      <c r="N236" s="1" t="n">
        <v>0.5</v>
      </c>
      <c r="O236" s="6" t="n">
        <v>3.465E-006</v>
      </c>
      <c r="P236" s="1" t="n">
        <v>0.1786</v>
      </c>
      <c r="Q236" s="1" t="n">
        <v>2.87</v>
      </c>
      <c r="R236" s="1" t="n">
        <v>0.2413</v>
      </c>
    </row>
    <row r="237" customFormat="false" ht="12.8" hidden="false" customHeight="false" outlineLevel="0" collapsed="false">
      <c r="A237" s="1" t="n">
        <v>19</v>
      </c>
      <c r="B237" s="4" t="str">
        <f aca="false">IF(LEFT(E237,2)="S1","01.11.2024",IF(LEFT(E237,2)="S2","24.07.2025",IF(LEFT(E237,2)="S3","14.04.2025",IF(LEFT(E237,2)="S4","04.12.2025","04.12.2025"))))</f>
        <v>04.12.2025</v>
      </c>
      <c r="C237" s="4" t="str">
        <f aca="false">IF(LEFT(E237,2)="S5","Spritz","Standard")</f>
        <v>Standard</v>
      </c>
      <c r="D237" s="4" t="n">
        <v>1</v>
      </c>
      <c r="E237" s="4" t="s">
        <v>29</v>
      </c>
      <c r="F237" s="1" t="s">
        <v>20</v>
      </c>
      <c r="G237" s="1" t="n">
        <v>154.6</v>
      </c>
      <c r="H237" s="1" t="n">
        <v>147.1</v>
      </c>
      <c r="I237" s="1" t="n">
        <v>25.03</v>
      </c>
      <c r="J237" s="1" t="n">
        <v>0.09207</v>
      </c>
      <c r="K237" s="1" t="n">
        <v>6.695</v>
      </c>
      <c r="L237" s="1" t="n">
        <v>0.01375</v>
      </c>
      <c r="M237" s="1" t="n">
        <v>-0.1129</v>
      </c>
      <c r="N237" s="1" t="n">
        <v>0.5</v>
      </c>
      <c r="O237" s="6" t="n">
        <v>1.542E-006</v>
      </c>
      <c r="P237" s="1" t="n">
        <v>0.2232</v>
      </c>
      <c r="Q237" s="1" t="n">
        <v>0.6685</v>
      </c>
      <c r="R237" s="1" t="n">
        <v>1.835</v>
      </c>
    </row>
    <row r="238" customFormat="false" ht="12.8" hidden="false" customHeight="false" outlineLevel="0" collapsed="false">
      <c r="A238" s="1" t="n">
        <v>20</v>
      </c>
      <c r="B238" s="4" t="str">
        <f aca="false">IF(LEFT(E238,2)="S1","01.11.2024",IF(LEFT(E238,2)="S2","24.07.2025",IF(LEFT(E238,2)="S3","14.04.2025",IF(LEFT(E238,2)="S4","04.12.2025","04.12.2025"))))</f>
        <v>04.12.2025</v>
      </c>
      <c r="C238" s="4" t="str">
        <f aca="false">IF(LEFT(E238,2)="S5","Spritz","Standard")</f>
        <v>Standard</v>
      </c>
      <c r="D238" s="4" t="n">
        <v>1</v>
      </c>
      <c r="E238" s="4" t="s">
        <v>29</v>
      </c>
      <c r="F238" s="1" t="s">
        <v>20</v>
      </c>
      <c r="G238" s="1" t="n">
        <v>162.4</v>
      </c>
      <c r="H238" s="1" t="n">
        <v>154.8</v>
      </c>
      <c r="I238" s="1" t="n">
        <v>25.02</v>
      </c>
      <c r="J238" s="1" t="n">
        <v>0.1854</v>
      </c>
      <c r="K238" s="1" t="n">
        <v>8.367</v>
      </c>
      <c r="L238" s="1" t="n">
        <v>0.02216</v>
      </c>
      <c r="M238" s="1" t="n">
        <v>-0.1173</v>
      </c>
      <c r="N238" s="1" t="n">
        <v>0.5</v>
      </c>
      <c r="O238" s="6" t="n">
        <v>3.106E-006</v>
      </c>
      <c r="P238" s="1" t="n">
        <v>0.2789</v>
      </c>
      <c r="Q238" s="1" t="n">
        <v>0.9945</v>
      </c>
      <c r="R238" s="1" t="n">
        <v>3.828</v>
      </c>
    </row>
    <row r="239" customFormat="false" ht="12.8" hidden="false" customHeight="false" outlineLevel="0" collapsed="false">
      <c r="A239" s="1" t="n">
        <v>21</v>
      </c>
      <c r="B239" s="4" t="str">
        <f aca="false">IF(LEFT(E239,2)="S1","01.11.2024",IF(LEFT(E239,2)="S2","24.07.2025",IF(LEFT(E239,2)="S3","14.04.2025",IF(LEFT(E239,2)="S4","04.12.2025","04.12.2025"))))</f>
        <v>04.12.2025</v>
      </c>
      <c r="C239" s="4" t="str">
        <f aca="false">IF(LEFT(E239,2)="S5","Spritz","Standard")</f>
        <v>Standard</v>
      </c>
      <c r="D239" s="4" t="n">
        <v>1</v>
      </c>
      <c r="E239" s="4" t="s">
        <v>29</v>
      </c>
      <c r="F239" s="1" t="s">
        <v>20</v>
      </c>
      <c r="G239" s="1" t="n">
        <v>170.1</v>
      </c>
      <c r="H239" s="1" t="n">
        <v>162.6</v>
      </c>
      <c r="I239" s="1" t="n">
        <v>25.02</v>
      </c>
      <c r="J239" s="1" t="n">
        <v>0.1861</v>
      </c>
      <c r="K239" s="1" t="n">
        <v>10.46</v>
      </c>
      <c r="L239" s="1" t="n">
        <v>0.0178</v>
      </c>
      <c r="M239" s="1" t="n">
        <v>-0.1209</v>
      </c>
      <c r="N239" s="1" t="n">
        <v>0.5</v>
      </c>
      <c r="O239" s="6" t="n">
        <v>3.118E-006</v>
      </c>
      <c r="P239" s="1" t="n">
        <v>0.3485</v>
      </c>
      <c r="Q239" s="1" t="n">
        <v>0.9699</v>
      </c>
      <c r="R239" s="1" t="n">
        <v>0.03301</v>
      </c>
    </row>
    <row r="240" customFormat="false" ht="12.8" hidden="false" customHeight="false" outlineLevel="0" collapsed="false">
      <c r="A240" s="1" t="n">
        <v>22</v>
      </c>
      <c r="B240" s="4" t="str">
        <f aca="false">IF(LEFT(E240,2)="S1","01.11.2024",IF(LEFT(E240,2)="S2","24.07.2025",IF(LEFT(E240,2)="S3","14.04.2025",IF(LEFT(E240,2)="S4","04.12.2025","04.12.2025"))))</f>
        <v>04.12.2025</v>
      </c>
      <c r="C240" s="4" t="str">
        <f aca="false">IF(LEFT(E240,2)="S5","Spritz","Standard")</f>
        <v>Standard</v>
      </c>
      <c r="D240" s="4" t="n">
        <v>1</v>
      </c>
      <c r="E240" s="4" t="s">
        <v>29</v>
      </c>
      <c r="F240" s="1" t="s">
        <v>20</v>
      </c>
      <c r="G240" s="1" t="n">
        <v>177.8</v>
      </c>
      <c r="H240" s="1" t="n">
        <v>170.3</v>
      </c>
      <c r="I240" s="1" t="n">
        <v>25.02</v>
      </c>
      <c r="J240" s="1" t="n">
        <v>0.2173</v>
      </c>
      <c r="K240" s="1" t="n">
        <v>13.07</v>
      </c>
      <c r="L240" s="1" t="n">
        <v>0.01663</v>
      </c>
      <c r="M240" s="1" t="n">
        <v>-0.1192</v>
      </c>
      <c r="N240" s="1" t="n">
        <v>0.5</v>
      </c>
      <c r="O240" s="6" t="n">
        <v>3.64E-006</v>
      </c>
      <c r="P240" s="1" t="n">
        <v>0.4356</v>
      </c>
      <c r="Q240" s="1" t="n">
        <v>1.025</v>
      </c>
      <c r="R240" s="1" t="n">
        <v>3.145</v>
      </c>
    </row>
    <row r="241" customFormat="false" ht="12.8" hidden="false" customHeight="false" outlineLevel="0" collapsed="false">
      <c r="A241" s="1" t="n">
        <v>23</v>
      </c>
      <c r="B241" s="4" t="str">
        <f aca="false">IF(LEFT(E241,2)="S1","01.11.2024",IF(LEFT(E241,2)="S2","24.07.2025",IF(LEFT(E241,2)="S3","14.04.2025",IF(LEFT(E241,2)="S4","04.12.2025","04.12.2025"))))</f>
        <v>04.12.2025</v>
      </c>
      <c r="C241" s="4" t="str">
        <f aca="false">IF(LEFT(E241,2)="S5","Spritz","Standard")</f>
        <v>Standard</v>
      </c>
      <c r="D241" s="4" t="n">
        <v>1</v>
      </c>
      <c r="E241" s="4" t="s">
        <v>29</v>
      </c>
      <c r="F241" s="1" t="s">
        <v>20</v>
      </c>
      <c r="G241" s="1" t="n">
        <v>185.6</v>
      </c>
      <c r="H241" s="1" t="n">
        <v>178.1</v>
      </c>
      <c r="I241" s="1" t="n">
        <v>25.02</v>
      </c>
      <c r="J241" s="1" t="n">
        <v>0.2237</v>
      </c>
      <c r="K241" s="1" t="n">
        <v>16.33</v>
      </c>
      <c r="L241" s="1" t="n">
        <v>0.0137</v>
      </c>
      <c r="M241" s="1" t="n">
        <v>-0.1194</v>
      </c>
      <c r="N241" s="1" t="n">
        <v>0.5</v>
      </c>
      <c r="O241" s="6" t="n">
        <v>3.747E-006</v>
      </c>
      <c r="P241" s="1" t="n">
        <v>0.5443</v>
      </c>
      <c r="Q241" s="1" t="n">
        <v>1.139</v>
      </c>
      <c r="R241" s="1" t="n">
        <v>0.7479</v>
      </c>
    </row>
    <row r="242" customFormat="false" ht="12.8" hidden="false" customHeight="false" outlineLevel="0" collapsed="false">
      <c r="A242" s="1" t="n">
        <v>24</v>
      </c>
      <c r="B242" s="4" t="str">
        <f aca="false">IF(LEFT(E242,2)="S1","01.11.2024",IF(LEFT(E242,2)="S2","24.07.2025",IF(LEFT(E242,2)="S3","14.04.2025",IF(LEFT(E242,2)="S4","04.12.2025","04.12.2025"))))</f>
        <v>04.12.2025</v>
      </c>
      <c r="C242" s="4" t="str">
        <f aca="false">IF(LEFT(E242,2)="S5","Spritz","Standard")</f>
        <v>Standard</v>
      </c>
      <c r="D242" s="4" t="n">
        <v>1</v>
      </c>
      <c r="E242" s="4" t="s">
        <v>29</v>
      </c>
      <c r="F242" s="1" t="s">
        <v>20</v>
      </c>
      <c r="G242" s="1" t="n">
        <v>193.3</v>
      </c>
      <c r="H242" s="1" t="n">
        <v>185.8</v>
      </c>
      <c r="I242" s="1" t="n">
        <v>25.02</v>
      </c>
      <c r="J242" s="1" t="n">
        <v>0.2261</v>
      </c>
      <c r="K242" s="1" t="n">
        <v>20.4</v>
      </c>
      <c r="L242" s="1" t="n">
        <v>0.01108</v>
      </c>
      <c r="M242" s="1" t="n">
        <v>-0.1223</v>
      </c>
      <c r="N242" s="1" t="n">
        <v>0.5</v>
      </c>
      <c r="O242" s="6" t="n">
        <v>3.787E-006</v>
      </c>
      <c r="P242" s="1" t="n">
        <v>0.6801</v>
      </c>
      <c r="Q242" s="1" t="n">
        <v>0.8258</v>
      </c>
      <c r="R242" s="1" t="n">
        <v>5.604</v>
      </c>
    </row>
    <row r="243" customFormat="false" ht="12.8" hidden="false" customHeight="false" outlineLevel="0" collapsed="false">
      <c r="A243" s="1" t="n">
        <v>25</v>
      </c>
      <c r="B243" s="4" t="str">
        <f aca="false">IF(LEFT(E243,2)="S1","01.11.2024",IF(LEFT(E243,2)="S2","24.07.2025",IF(LEFT(E243,2)="S3","14.04.2025",IF(LEFT(E243,2)="S4","04.12.2025","04.12.2025"))))</f>
        <v>04.12.2025</v>
      </c>
      <c r="C243" s="4" t="str">
        <f aca="false">IF(LEFT(E243,2)="S5","Spritz","Standard")</f>
        <v>Standard</v>
      </c>
      <c r="D243" s="4" t="n">
        <v>1</v>
      </c>
      <c r="E243" s="4" t="s">
        <v>29</v>
      </c>
      <c r="F243" s="1" t="s">
        <v>20</v>
      </c>
      <c r="G243" s="1" t="n">
        <v>201.1</v>
      </c>
      <c r="H243" s="1" t="n">
        <v>193.6</v>
      </c>
      <c r="I243" s="1" t="n">
        <v>25.02</v>
      </c>
      <c r="J243" s="1" t="n">
        <v>0.2723</v>
      </c>
      <c r="K243" s="1" t="n">
        <v>25.5</v>
      </c>
      <c r="L243" s="1" t="n">
        <v>0.01068</v>
      </c>
      <c r="M243" s="1" t="n">
        <v>-0.1213</v>
      </c>
      <c r="N243" s="1" t="n">
        <v>0.5</v>
      </c>
      <c r="O243" s="6" t="n">
        <v>4.562E-006</v>
      </c>
      <c r="P243" s="1" t="n">
        <v>0.8499</v>
      </c>
      <c r="Q243" s="1" t="n">
        <v>1.155</v>
      </c>
      <c r="R243" s="1" t="n">
        <v>5.393</v>
      </c>
    </row>
    <row r="244" customFormat="false" ht="12.8" hidden="false" customHeight="false" outlineLevel="0" collapsed="false">
      <c r="A244" s="1" t="n">
        <v>26</v>
      </c>
      <c r="B244" s="4" t="str">
        <f aca="false">IF(LEFT(E244,2)="S1","01.11.2024",IF(LEFT(E244,2)="S2","24.07.2025",IF(LEFT(E244,2)="S3","14.04.2025",IF(LEFT(E244,2)="S4","04.12.2025","04.12.2025"))))</f>
        <v>04.12.2025</v>
      </c>
      <c r="C244" s="4" t="str">
        <f aca="false">IF(LEFT(E244,2)="S5","Spritz","Standard")</f>
        <v>Standard</v>
      </c>
      <c r="D244" s="4" t="n">
        <v>1</v>
      </c>
      <c r="E244" s="4" t="s">
        <v>29</v>
      </c>
      <c r="F244" s="1" t="s">
        <v>20</v>
      </c>
      <c r="G244" s="1" t="n">
        <v>208.8</v>
      </c>
      <c r="H244" s="1" t="n">
        <v>201.3</v>
      </c>
      <c r="I244" s="1" t="n">
        <v>25.01</v>
      </c>
      <c r="J244" s="1" t="n">
        <v>0.309</v>
      </c>
      <c r="K244" s="1" t="n">
        <v>31.86</v>
      </c>
      <c r="L244" s="6" t="n">
        <v>0.0097</v>
      </c>
      <c r="M244" s="1" t="n">
        <v>-0.1225</v>
      </c>
      <c r="N244" s="1" t="n">
        <v>0.5</v>
      </c>
      <c r="O244" s="6" t="n">
        <v>5.177E-006</v>
      </c>
      <c r="P244" s="1" t="n">
        <v>1.062</v>
      </c>
      <c r="Q244" s="1" t="n">
        <v>0.9492</v>
      </c>
      <c r="R244" s="1" t="n">
        <v>0.4099</v>
      </c>
    </row>
    <row r="245" customFormat="false" ht="12.8" hidden="false" customHeight="false" outlineLevel="0" collapsed="false">
      <c r="A245" s="1" t="n">
        <v>27</v>
      </c>
      <c r="B245" s="4" t="str">
        <f aca="false">IF(LEFT(E245,2)="S1","01.11.2024",IF(LEFT(E245,2)="S2","24.07.2025",IF(LEFT(E245,2)="S3","14.04.2025",IF(LEFT(E245,2)="S4","04.12.2025","04.12.2025"))))</f>
        <v>04.12.2025</v>
      </c>
      <c r="C245" s="4" t="str">
        <f aca="false">IF(LEFT(E245,2)="S5","Spritz","Standard")</f>
        <v>Standard</v>
      </c>
      <c r="D245" s="4" t="n">
        <v>1</v>
      </c>
      <c r="E245" s="4" t="s">
        <v>29</v>
      </c>
      <c r="F245" s="1" t="s">
        <v>20</v>
      </c>
      <c r="G245" s="1" t="n">
        <v>216.5</v>
      </c>
      <c r="H245" s="1" t="n">
        <v>209</v>
      </c>
      <c r="I245" s="1" t="n">
        <v>25.02</v>
      </c>
      <c r="J245" s="1" t="n">
        <v>0.3098</v>
      </c>
      <c r="K245" s="1" t="n">
        <v>39.81</v>
      </c>
      <c r="L245" s="6" t="n">
        <v>0.007782</v>
      </c>
      <c r="M245" s="1" t="n">
        <v>-0.1221</v>
      </c>
      <c r="N245" s="1" t="n">
        <v>0.5</v>
      </c>
      <c r="O245" s="6" t="n">
        <v>5.19E-006</v>
      </c>
      <c r="P245" s="1" t="n">
        <v>1.327</v>
      </c>
      <c r="Q245" s="1" t="n">
        <v>1.031</v>
      </c>
      <c r="R245" s="1" t="n">
        <v>3.602</v>
      </c>
    </row>
    <row r="246" customFormat="false" ht="12.8" hidden="false" customHeight="false" outlineLevel="0" collapsed="false">
      <c r="A246" s="1" t="n">
        <v>28</v>
      </c>
      <c r="B246" s="4" t="str">
        <f aca="false">IF(LEFT(E246,2)="S1","01.11.2024",IF(LEFT(E246,2)="S2","24.07.2025",IF(LEFT(E246,2)="S3","14.04.2025",IF(LEFT(E246,2)="S4","04.12.2025","04.12.2025"))))</f>
        <v>04.12.2025</v>
      </c>
      <c r="C246" s="4" t="str">
        <f aca="false">IF(LEFT(E246,2)="S5","Spritz","Standard")</f>
        <v>Standard</v>
      </c>
      <c r="D246" s="4" t="n">
        <v>1</v>
      </c>
      <c r="E246" s="4" t="s">
        <v>29</v>
      </c>
      <c r="F246" s="1" t="s">
        <v>20</v>
      </c>
      <c r="G246" s="1" t="n">
        <v>224.3</v>
      </c>
      <c r="H246" s="1" t="n">
        <v>216.8</v>
      </c>
      <c r="I246" s="1" t="n">
        <v>25.02</v>
      </c>
      <c r="J246" s="1" t="n">
        <v>0.3164</v>
      </c>
      <c r="K246" s="1" t="n">
        <v>49.75</v>
      </c>
      <c r="L246" s="6" t="n">
        <v>0.00636</v>
      </c>
      <c r="M246" s="1" t="n">
        <v>-0.1229</v>
      </c>
      <c r="N246" s="1" t="n">
        <v>0.5</v>
      </c>
      <c r="O246" s="6" t="n">
        <v>5.301E-006</v>
      </c>
      <c r="P246" s="1" t="n">
        <v>1.658</v>
      </c>
      <c r="Q246" s="1" t="n">
        <v>1.216</v>
      </c>
      <c r="R246" s="1" t="n">
        <v>2.885</v>
      </c>
    </row>
    <row r="247" customFormat="false" ht="12.8" hidden="false" customHeight="false" outlineLevel="0" collapsed="false">
      <c r="A247" s="1" t="n">
        <v>29</v>
      </c>
      <c r="B247" s="4" t="str">
        <f aca="false">IF(LEFT(E247,2)="S1","01.11.2024",IF(LEFT(E247,2)="S2","24.07.2025",IF(LEFT(E247,2)="S3","14.04.2025",IF(LEFT(E247,2)="S4","04.12.2025","04.12.2025"))))</f>
        <v>04.12.2025</v>
      </c>
      <c r="C247" s="4" t="str">
        <f aca="false">IF(LEFT(E247,2)="S5","Spritz","Standard")</f>
        <v>Standard</v>
      </c>
      <c r="D247" s="4" t="n">
        <v>1</v>
      </c>
      <c r="E247" s="4" t="s">
        <v>29</v>
      </c>
      <c r="F247" s="1" t="s">
        <v>20</v>
      </c>
      <c r="G247" s="1" t="n">
        <v>232</v>
      </c>
      <c r="H247" s="1" t="n">
        <v>224.5</v>
      </c>
      <c r="I247" s="1" t="n">
        <v>25.01</v>
      </c>
      <c r="J247" s="1" t="n">
        <v>0.3931</v>
      </c>
      <c r="K247" s="1" t="n">
        <v>62.17</v>
      </c>
      <c r="L247" s="6" t="n">
        <v>0.006324</v>
      </c>
      <c r="M247" s="1" t="n">
        <v>-0.1231</v>
      </c>
      <c r="N247" s="1" t="n">
        <v>0.5</v>
      </c>
      <c r="O247" s="6" t="n">
        <v>6.586E-006</v>
      </c>
      <c r="P247" s="1" t="n">
        <v>2.072</v>
      </c>
      <c r="Q247" s="1" t="n">
        <v>0.9642</v>
      </c>
      <c r="R247" s="1" t="n">
        <v>5.116</v>
      </c>
    </row>
    <row r="248" customFormat="false" ht="12.8" hidden="false" customHeight="false" outlineLevel="0" collapsed="false">
      <c r="A248" s="1" t="n">
        <v>30</v>
      </c>
      <c r="B248" s="4" t="str">
        <f aca="false">IF(LEFT(E248,2)="S1","01.11.2024",IF(LEFT(E248,2)="S2","24.07.2025",IF(LEFT(E248,2)="S3","14.04.2025",IF(LEFT(E248,2)="S4","04.12.2025","04.12.2025"))))</f>
        <v>04.12.2025</v>
      </c>
      <c r="C248" s="4" t="str">
        <f aca="false">IF(LEFT(E248,2)="S5","Spritz","Standard")</f>
        <v>Standard</v>
      </c>
      <c r="D248" s="4" t="n">
        <v>1</v>
      </c>
      <c r="E248" s="4" t="s">
        <v>29</v>
      </c>
      <c r="F248" s="1" t="s">
        <v>20</v>
      </c>
      <c r="G248" s="1" t="n">
        <v>239.8</v>
      </c>
      <c r="H248" s="1" t="n">
        <v>232.3</v>
      </c>
      <c r="I248" s="1" t="n">
        <v>25.01</v>
      </c>
      <c r="J248" s="1" t="n">
        <v>0.5727</v>
      </c>
      <c r="K248" s="1" t="n">
        <v>77.69</v>
      </c>
      <c r="L248" s="6" t="n">
        <v>0.007371</v>
      </c>
      <c r="M248" s="1" t="n">
        <v>-0.1234</v>
      </c>
      <c r="N248" s="1" t="n">
        <v>0.5</v>
      </c>
      <c r="O248" s="6" t="n">
        <v>9.594E-006</v>
      </c>
      <c r="P248" s="1" t="n">
        <v>2.59</v>
      </c>
      <c r="Q248" s="1" t="n">
        <v>1.226</v>
      </c>
      <c r="R248" s="1" t="n">
        <v>4.77</v>
      </c>
    </row>
    <row r="249" customFormat="false" ht="12.8" hidden="false" customHeight="false" outlineLevel="0" collapsed="false">
      <c r="A249" s="1" t="n">
        <v>31</v>
      </c>
      <c r="B249" s="4" t="str">
        <f aca="false">IF(LEFT(E249,2)="S1","01.11.2024",IF(LEFT(E249,2)="S2","24.07.2025",IF(LEFT(E249,2)="S3","14.04.2025",IF(LEFT(E249,2)="S4","04.12.2025","04.12.2025"))))</f>
        <v>04.12.2025</v>
      </c>
      <c r="C249" s="4" t="str">
        <f aca="false">IF(LEFT(E249,2)="S5","Spritz","Standard")</f>
        <v>Standard</v>
      </c>
      <c r="D249" s="4" t="n">
        <v>1</v>
      </c>
      <c r="E249" s="4" t="s">
        <v>29</v>
      </c>
      <c r="F249" s="1" t="s">
        <v>20</v>
      </c>
      <c r="G249" s="1" t="n">
        <v>247.5</v>
      </c>
      <c r="H249" s="1" t="n">
        <v>240</v>
      </c>
      <c r="I249" s="1" t="n">
        <v>25.01</v>
      </c>
      <c r="J249" s="1" t="n">
        <v>0.5801</v>
      </c>
      <c r="K249" s="1" t="n">
        <v>97.08</v>
      </c>
      <c r="L249" s="6" t="n">
        <v>0.005975</v>
      </c>
      <c r="M249" s="1" t="n">
        <v>-0.1235</v>
      </c>
      <c r="N249" s="1" t="n">
        <v>0.5</v>
      </c>
      <c r="O249" s="6" t="n">
        <v>9.718E-006</v>
      </c>
      <c r="P249" s="1" t="n">
        <v>3.236</v>
      </c>
      <c r="Q249" s="1" t="n">
        <v>0.7617</v>
      </c>
      <c r="R249" s="1" t="n">
        <v>2.746</v>
      </c>
    </row>
    <row r="250" customFormat="false" ht="12.8" hidden="false" customHeight="false" outlineLevel="0" collapsed="false">
      <c r="A250" s="1" t="n">
        <v>1</v>
      </c>
      <c r="B250" s="4" t="str">
        <f aca="false">IF(LEFT(E250,2)="S1","01.11.2024",IF(LEFT(E250,2)="S2","24.07.2025",IF(LEFT(E250,2)="S3","14.04.2025",IF(LEFT(E250,2)="S4","04.12.2025","04.12.2025"))))</f>
        <v>04.12.2025</v>
      </c>
      <c r="C250" s="4" t="str">
        <f aca="false">IF(LEFT(E250,2)="S5","Spritz","Standard")</f>
        <v>Standard</v>
      </c>
      <c r="D250" s="4" t="n">
        <v>2</v>
      </c>
      <c r="E250" s="4" t="s">
        <v>30</v>
      </c>
      <c r="F250" s="1" t="s">
        <v>20</v>
      </c>
      <c r="G250" s="1" t="n">
        <v>15.77</v>
      </c>
      <c r="H250" s="1" t="n">
        <v>7.74</v>
      </c>
      <c r="I250" s="1" t="n">
        <v>25.07</v>
      </c>
      <c r="J250" s="1" t="n">
        <v>0.3023</v>
      </c>
      <c r="K250" s="1" t="n">
        <v>0.1213</v>
      </c>
      <c r="L250" s="1" t="n">
        <v>2.493</v>
      </c>
      <c r="M250" s="1" t="n">
        <v>-0.1572</v>
      </c>
      <c r="N250" s="1" t="n">
        <v>0.5</v>
      </c>
      <c r="O250" s="6" t="n">
        <v>5.064E-006</v>
      </c>
      <c r="P250" s="6" t="n">
        <v>0.004042</v>
      </c>
      <c r="Q250" s="1" t="n">
        <v>0.9822</v>
      </c>
      <c r="R250" s="1" t="n">
        <v>2.977</v>
      </c>
    </row>
    <row r="251" customFormat="false" ht="12.8" hidden="false" customHeight="false" outlineLevel="0" collapsed="false">
      <c r="A251" s="1" t="n">
        <v>2</v>
      </c>
      <c r="B251" s="4" t="str">
        <f aca="false">IF(LEFT(E251,2)="S1","01.11.2024",IF(LEFT(E251,2)="S2","24.07.2025",IF(LEFT(E251,2)="S3","14.04.2025",IF(LEFT(E251,2)="S4","04.12.2025","04.12.2025"))))</f>
        <v>04.12.2025</v>
      </c>
      <c r="C251" s="4" t="str">
        <f aca="false">IF(LEFT(E251,2)="S5","Spritz","Standard")</f>
        <v>Standard</v>
      </c>
      <c r="D251" s="4" t="n">
        <v>2</v>
      </c>
      <c r="E251" s="4" t="s">
        <v>30</v>
      </c>
      <c r="F251" s="1" t="s">
        <v>20</v>
      </c>
      <c r="G251" s="1" t="n">
        <v>23.51</v>
      </c>
      <c r="H251" s="1" t="n">
        <v>15.49</v>
      </c>
      <c r="I251" s="1" t="n">
        <v>25.07</v>
      </c>
      <c r="J251" s="1" t="n">
        <v>0.3024</v>
      </c>
      <c r="K251" s="1" t="n">
        <v>0.1515</v>
      </c>
      <c r="L251" s="1" t="n">
        <v>1.996</v>
      </c>
      <c r="M251" s="1" t="n">
        <v>-0.1588</v>
      </c>
      <c r="N251" s="1" t="n">
        <v>0.5</v>
      </c>
      <c r="O251" s="6" t="n">
        <v>5.067E-006</v>
      </c>
      <c r="P251" s="6" t="n">
        <v>0.005051</v>
      </c>
      <c r="Q251" s="1" t="n">
        <v>0.9952</v>
      </c>
      <c r="R251" s="1" t="n">
        <v>3.014</v>
      </c>
    </row>
    <row r="252" customFormat="false" ht="12.8" hidden="false" customHeight="false" outlineLevel="0" collapsed="false">
      <c r="A252" s="1" t="n">
        <v>3</v>
      </c>
      <c r="B252" s="4" t="str">
        <f aca="false">IF(LEFT(E252,2)="S1","01.11.2024",IF(LEFT(E252,2)="S2","24.07.2025",IF(LEFT(E252,2)="S3","14.04.2025",IF(LEFT(E252,2)="S4","04.12.2025","04.12.2025"))))</f>
        <v>04.12.2025</v>
      </c>
      <c r="C252" s="4" t="str">
        <f aca="false">IF(LEFT(E252,2)="S5","Spritz","Standard")</f>
        <v>Standard</v>
      </c>
      <c r="D252" s="4" t="n">
        <v>2</v>
      </c>
      <c r="E252" s="4" t="s">
        <v>30</v>
      </c>
      <c r="F252" s="1" t="s">
        <v>20</v>
      </c>
      <c r="G252" s="1" t="n">
        <v>31.25</v>
      </c>
      <c r="H252" s="1" t="n">
        <v>23.23</v>
      </c>
      <c r="I252" s="1" t="n">
        <v>25.07</v>
      </c>
      <c r="J252" s="1" t="n">
        <v>0.3096</v>
      </c>
      <c r="K252" s="1" t="n">
        <v>0.1894</v>
      </c>
      <c r="L252" s="1" t="n">
        <v>1.635</v>
      </c>
      <c r="M252" s="1" t="n">
        <v>-0.1608</v>
      </c>
      <c r="N252" s="1" t="n">
        <v>0.5</v>
      </c>
      <c r="O252" s="6" t="n">
        <v>5.186E-006</v>
      </c>
      <c r="P252" s="6" t="n">
        <v>0.006312</v>
      </c>
      <c r="Q252" s="1" t="n">
        <v>1.007</v>
      </c>
      <c r="R252" s="1" t="n">
        <v>3.059</v>
      </c>
    </row>
    <row r="253" customFormat="false" ht="12.8" hidden="false" customHeight="false" outlineLevel="0" collapsed="false">
      <c r="A253" s="1" t="n">
        <v>4</v>
      </c>
      <c r="B253" s="4" t="str">
        <f aca="false">IF(LEFT(E253,2)="S1","01.11.2024",IF(LEFT(E253,2)="S2","24.07.2025",IF(LEFT(E253,2)="S3","14.04.2025",IF(LEFT(E253,2)="S4","04.12.2025","04.12.2025"))))</f>
        <v>04.12.2025</v>
      </c>
      <c r="C253" s="4" t="str">
        <f aca="false">IF(LEFT(E253,2)="S5","Spritz","Standard")</f>
        <v>Standard</v>
      </c>
      <c r="D253" s="4" t="n">
        <v>2</v>
      </c>
      <c r="E253" s="4" t="s">
        <v>30</v>
      </c>
      <c r="F253" s="1" t="s">
        <v>20</v>
      </c>
      <c r="G253" s="1" t="n">
        <v>39</v>
      </c>
      <c r="H253" s="1" t="n">
        <v>30.97</v>
      </c>
      <c r="I253" s="1" t="n">
        <v>25.08</v>
      </c>
      <c r="J253" s="1" t="n">
        <v>0.3033</v>
      </c>
      <c r="K253" s="1" t="n">
        <v>0.2366</v>
      </c>
      <c r="L253" s="1" t="n">
        <v>1.282</v>
      </c>
      <c r="M253" s="1" t="n">
        <v>-0.1625</v>
      </c>
      <c r="N253" s="1" t="n">
        <v>0.5</v>
      </c>
      <c r="O253" s="6" t="n">
        <v>5.081E-006</v>
      </c>
      <c r="P253" s="6" t="n">
        <v>0.007889</v>
      </c>
      <c r="Q253" s="1" t="n">
        <v>0.9841</v>
      </c>
      <c r="R253" s="1" t="n">
        <v>3.115</v>
      </c>
    </row>
    <row r="254" customFormat="false" ht="12.8" hidden="false" customHeight="false" outlineLevel="0" collapsed="false">
      <c r="A254" s="1" t="n">
        <v>5</v>
      </c>
      <c r="B254" s="4" t="str">
        <f aca="false">IF(LEFT(E254,2)="S1","01.11.2024",IF(LEFT(E254,2)="S2","24.07.2025",IF(LEFT(E254,2)="S3","14.04.2025",IF(LEFT(E254,2)="S4","04.12.2025","04.12.2025"))))</f>
        <v>04.12.2025</v>
      </c>
      <c r="C254" s="4" t="str">
        <f aca="false">IF(LEFT(E254,2)="S5","Spritz","Standard")</f>
        <v>Standard</v>
      </c>
      <c r="D254" s="4" t="n">
        <v>2</v>
      </c>
      <c r="E254" s="4" t="s">
        <v>30</v>
      </c>
      <c r="F254" s="1" t="s">
        <v>20</v>
      </c>
      <c r="G254" s="1" t="n">
        <v>46.74</v>
      </c>
      <c r="H254" s="1" t="n">
        <v>38.71</v>
      </c>
      <c r="I254" s="1" t="n">
        <v>25.08</v>
      </c>
      <c r="J254" s="1" t="n">
        <v>0.3007</v>
      </c>
      <c r="K254" s="1" t="n">
        <v>0.2957</v>
      </c>
      <c r="L254" s="1" t="n">
        <v>1.017</v>
      </c>
      <c r="M254" s="1" t="n">
        <v>-0.164</v>
      </c>
      <c r="N254" s="1" t="n">
        <v>0.5</v>
      </c>
      <c r="O254" s="6" t="n">
        <v>5.038E-006</v>
      </c>
      <c r="P254" s="6" t="n">
        <v>0.009857</v>
      </c>
      <c r="Q254" s="1" t="n">
        <v>1.007</v>
      </c>
      <c r="R254" s="1" t="n">
        <v>3.185</v>
      </c>
    </row>
    <row r="255" customFormat="false" ht="12.8" hidden="false" customHeight="false" outlineLevel="0" collapsed="false">
      <c r="A255" s="1" t="n">
        <v>6</v>
      </c>
      <c r="B255" s="4" t="str">
        <f aca="false">IF(LEFT(E255,2)="S1","01.11.2024",IF(LEFT(E255,2)="S2","24.07.2025",IF(LEFT(E255,2)="S3","14.04.2025",IF(LEFT(E255,2)="S4","04.12.2025","04.12.2025"))))</f>
        <v>04.12.2025</v>
      </c>
      <c r="C255" s="4" t="str">
        <f aca="false">IF(LEFT(E255,2)="S5","Spritz","Standard")</f>
        <v>Standard</v>
      </c>
      <c r="D255" s="4" t="n">
        <v>2</v>
      </c>
      <c r="E255" s="4" t="s">
        <v>30</v>
      </c>
      <c r="F255" s="1" t="s">
        <v>20</v>
      </c>
      <c r="G255" s="1" t="n">
        <v>54.48</v>
      </c>
      <c r="H255" s="1" t="n">
        <v>46.45</v>
      </c>
      <c r="I255" s="1" t="n">
        <v>25.07</v>
      </c>
      <c r="J255" s="1" t="n">
        <v>0.3067</v>
      </c>
      <c r="K255" s="1" t="n">
        <v>0.3695</v>
      </c>
      <c r="L255" s="1" t="n">
        <v>0.83</v>
      </c>
      <c r="M255" s="1" t="n">
        <v>-0.1659</v>
      </c>
      <c r="N255" s="1" t="n">
        <v>0.5</v>
      </c>
      <c r="O255" s="6" t="n">
        <v>5.138E-006</v>
      </c>
      <c r="P255" s="1" t="n">
        <v>0.01232</v>
      </c>
      <c r="Q255" s="1" t="n">
        <v>0.9537</v>
      </c>
      <c r="R255" s="1" t="n">
        <v>3.273</v>
      </c>
    </row>
    <row r="256" customFormat="false" ht="12.8" hidden="false" customHeight="false" outlineLevel="0" collapsed="false">
      <c r="A256" s="1" t="n">
        <v>7</v>
      </c>
      <c r="B256" s="4" t="str">
        <f aca="false">IF(LEFT(E256,2)="S1","01.11.2024",IF(LEFT(E256,2)="S2","24.07.2025",IF(LEFT(E256,2)="S3","14.04.2025",IF(LEFT(E256,2)="S4","04.12.2025","04.12.2025"))))</f>
        <v>04.12.2025</v>
      </c>
      <c r="C256" s="4" t="str">
        <f aca="false">IF(LEFT(E256,2)="S5","Spritz","Standard")</f>
        <v>Standard</v>
      </c>
      <c r="D256" s="4" t="n">
        <v>2</v>
      </c>
      <c r="E256" s="4" t="s">
        <v>30</v>
      </c>
      <c r="F256" s="1" t="s">
        <v>20</v>
      </c>
      <c r="G256" s="1" t="n">
        <v>62.22</v>
      </c>
      <c r="H256" s="1" t="n">
        <v>54.19</v>
      </c>
      <c r="I256" s="1" t="n">
        <v>25.07</v>
      </c>
      <c r="J256" s="1" t="n">
        <v>0.311</v>
      </c>
      <c r="K256" s="1" t="n">
        <v>0.4618</v>
      </c>
      <c r="L256" s="1" t="n">
        <v>0.6734</v>
      </c>
      <c r="M256" s="1" t="n">
        <v>-0.1666</v>
      </c>
      <c r="N256" s="1" t="n">
        <v>0.5</v>
      </c>
      <c r="O256" s="6" t="n">
        <v>5.209E-006</v>
      </c>
      <c r="P256" s="1" t="n">
        <v>0.01539</v>
      </c>
      <c r="Q256" s="1" t="n">
        <v>1.044</v>
      </c>
      <c r="R256" s="1" t="n">
        <v>3.383</v>
      </c>
    </row>
    <row r="257" customFormat="false" ht="12.8" hidden="false" customHeight="false" outlineLevel="0" collapsed="false">
      <c r="A257" s="1" t="n">
        <v>8</v>
      </c>
      <c r="B257" s="4" t="str">
        <f aca="false">IF(LEFT(E257,2)="S1","01.11.2024",IF(LEFT(E257,2)="S2","24.07.2025",IF(LEFT(E257,2)="S3","14.04.2025",IF(LEFT(E257,2)="S4","04.12.2025","04.12.2025"))))</f>
        <v>04.12.2025</v>
      </c>
      <c r="C257" s="4" t="str">
        <f aca="false">IF(LEFT(E257,2)="S5","Spritz","Standard")</f>
        <v>Standard</v>
      </c>
      <c r="D257" s="4" t="n">
        <v>2</v>
      </c>
      <c r="E257" s="4" t="s">
        <v>30</v>
      </c>
      <c r="F257" s="1" t="s">
        <v>20</v>
      </c>
      <c r="G257" s="1" t="n">
        <v>69.96</v>
      </c>
      <c r="H257" s="1" t="n">
        <v>61.93</v>
      </c>
      <c r="I257" s="1" t="n">
        <v>25.06</v>
      </c>
      <c r="J257" s="1" t="n">
        <v>0.2991</v>
      </c>
      <c r="K257" s="1" t="n">
        <v>0.577</v>
      </c>
      <c r="L257" s="1" t="n">
        <v>0.5184</v>
      </c>
      <c r="M257" s="1" t="n">
        <v>-0.1664</v>
      </c>
      <c r="N257" s="1" t="n">
        <v>0.5</v>
      </c>
      <c r="O257" s="6" t="n">
        <v>5.011E-006</v>
      </c>
      <c r="P257" s="1" t="n">
        <v>0.01923</v>
      </c>
      <c r="Q257" s="1" t="n">
        <v>1.094</v>
      </c>
      <c r="R257" s="1" t="n">
        <v>3.521</v>
      </c>
    </row>
    <row r="258" customFormat="false" ht="12.8" hidden="false" customHeight="false" outlineLevel="0" collapsed="false">
      <c r="A258" s="1" t="n">
        <v>9</v>
      </c>
      <c r="B258" s="4" t="str">
        <f aca="false">IF(LEFT(E258,2)="S1","01.11.2024",IF(LEFT(E258,2)="S2","24.07.2025",IF(LEFT(E258,2)="S3","14.04.2025",IF(LEFT(E258,2)="S4","04.12.2025","04.12.2025"))))</f>
        <v>04.12.2025</v>
      </c>
      <c r="C258" s="4" t="str">
        <f aca="false">IF(LEFT(E258,2)="S5","Spritz","Standard")</f>
        <v>Standard</v>
      </c>
      <c r="D258" s="4" t="n">
        <v>2</v>
      </c>
      <c r="E258" s="4" t="s">
        <v>30</v>
      </c>
      <c r="F258" s="1" t="s">
        <v>20</v>
      </c>
      <c r="G258" s="1" t="n">
        <v>77.7</v>
      </c>
      <c r="H258" s="1" t="n">
        <v>69.67</v>
      </c>
      <c r="I258" s="1" t="n">
        <v>25.05</v>
      </c>
      <c r="J258" s="1" t="n">
        <v>0.3118</v>
      </c>
      <c r="K258" s="1" t="n">
        <v>0.721</v>
      </c>
      <c r="L258" s="1" t="n">
        <v>0.4325</v>
      </c>
      <c r="M258" s="1" t="n">
        <v>-0.1675</v>
      </c>
      <c r="N258" s="1" t="n">
        <v>0.5</v>
      </c>
      <c r="O258" s="6" t="n">
        <v>5.224E-006</v>
      </c>
      <c r="P258" s="1" t="n">
        <v>0.02403</v>
      </c>
      <c r="Q258" s="1" t="n">
        <v>0.9328</v>
      </c>
      <c r="R258" s="1" t="n">
        <v>3.692</v>
      </c>
    </row>
    <row r="259" customFormat="false" ht="12.8" hidden="false" customHeight="false" outlineLevel="0" collapsed="false">
      <c r="A259" s="1" t="n">
        <v>10</v>
      </c>
      <c r="B259" s="4" t="str">
        <f aca="false">IF(LEFT(E259,2)="S1","01.11.2024",IF(LEFT(E259,2)="S2","24.07.2025",IF(LEFT(E259,2)="S3","14.04.2025",IF(LEFT(E259,2)="S4","04.12.2025","04.12.2025"))))</f>
        <v>04.12.2025</v>
      </c>
      <c r="C259" s="4" t="str">
        <f aca="false">IF(LEFT(E259,2)="S5","Spritz","Standard")</f>
        <v>Standard</v>
      </c>
      <c r="D259" s="4" t="n">
        <v>2</v>
      </c>
      <c r="E259" s="4" t="s">
        <v>30</v>
      </c>
      <c r="F259" s="1" t="s">
        <v>20</v>
      </c>
      <c r="G259" s="1" t="n">
        <v>85.45</v>
      </c>
      <c r="H259" s="1" t="n">
        <v>77.42</v>
      </c>
      <c r="I259" s="1" t="n">
        <v>25.05</v>
      </c>
      <c r="J259" s="1" t="n">
        <v>0.3188</v>
      </c>
      <c r="K259" s="1" t="n">
        <v>0.9011</v>
      </c>
      <c r="L259" s="1" t="n">
        <v>0.3538</v>
      </c>
      <c r="M259" s="1" t="n">
        <v>-0.1685</v>
      </c>
      <c r="N259" s="1" t="n">
        <v>0.5</v>
      </c>
      <c r="O259" s="6" t="n">
        <v>5.341E-006</v>
      </c>
      <c r="P259" s="1" t="n">
        <v>0.03004</v>
      </c>
      <c r="Q259" s="1" t="n">
        <v>1.031</v>
      </c>
      <c r="R259" s="1" t="n">
        <v>3.907</v>
      </c>
    </row>
    <row r="260" customFormat="false" ht="12.8" hidden="false" customHeight="false" outlineLevel="0" collapsed="false">
      <c r="A260" s="1" t="n">
        <v>11</v>
      </c>
      <c r="B260" s="4" t="str">
        <f aca="false">IF(LEFT(E260,2)="S1","01.11.2024",IF(LEFT(E260,2)="S2","24.07.2025",IF(LEFT(E260,2)="S3","14.04.2025",IF(LEFT(E260,2)="S4","04.12.2025","04.12.2025"))))</f>
        <v>04.12.2025</v>
      </c>
      <c r="C260" s="4" t="str">
        <f aca="false">IF(LEFT(E260,2)="S5","Spritz","Standard")</f>
        <v>Standard</v>
      </c>
      <c r="D260" s="4" t="n">
        <v>2</v>
      </c>
      <c r="E260" s="4" t="s">
        <v>30</v>
      </c>
      <c r="F260" s="1" t="s">
        <v>20</v>
      </c>
      <c r="G260" s="1" t="n">
        <v>93.19</v>
      </c>
      <c r="H260" s="1" t="n">
        <v>85.16</v>
      </c>
      <c r="I260" s="1" t="n">
        <v>25.05</v>
      </c>
      <c r="J260" s="1" t="n">
        <v>0.3061</v>
      </c>
      <c r="K260" s="1" t="n">
        <v>1.126</v>
      </c>
      <c r="L260" s="1" t="n">
        <v>0.2718</v>
      </c>
      <c r="M260" s="1" t="n">
        <v>-0.1691</v>
      </c>
      <c r="N260" s="1" t="n">
        <v>0.5</v>
      </c>
      <c r="O260" s="6" t="n">
        <v>5.128E-006</v>
      </c>
      <c r="P260" s="1" t="n">
        <v>0.03753</v>
      </c>
      <c r="Q260" s="1" t="n">
        <v>0.9786</v>
      </c>
      <c r="R260" s="1" t="n">
        <v>4.175</v>
      </c>
    </row>
    <row r="261" customFormat="false" ht="12.8" hidden="false" customHeight="false" outlineLevel="0" collapsed="false">
      <c r="A261" s="1" t="n">
        <v>12</v>
      </c>
      <c r="B261" s="4" t="str">
        <f aca="false">IF(LEFT(E261,2)="S1","01.11.2024",IF(LEFT(E261,2)="S2","24.07.2025",IF(LEFT(E261,2)="S3","14.04.2025",IF(LEFT(E261,2)="S4","04.12.2025","04.12.2025"))))</f>
        <v>04.12.2025</v>
      </c>
      <c r="C261" s="4" t="str">
        <f aca="false">IF(LEFT(E261,2)="S5","Spritz","Standard")</f>
        <v>Standard</v>
      </c>
      <c r="D261" s="4" t="n">
        <v>2</v>
      </c>
      <c r="E261" s="4" t="s">
        <v>30</v>
      </c>
      <c r="F261" s="1" t="s">
        <v>20</v>
      </c>
      <c r="G261" s="1" t="n">
        <v>100.9</v>
      </c>
      <c r="H261" s="1" t="n">
        <v>92.9</v>
      </c>
      <c r="I261" s="1" t="n">
        <v>25.04</v>
      </c>
      <c r="J261" s="1" t="n">
        <v>0.3194</v>
      </c>
      <c r="K261" s="1" t="n">
        <v>1.407</v>
      </c>
      <c r="L261" s="1" t="n">
        <v>0.227</v>
      </c>
      <c r="M261" s="1" t="n">
        <v>-0.1695</v>
      </c>
      <c r="N261" s="1" t="n">
        <v>0.5</v>
      </c>
      <c r="O261" s="6" t="n">
        <v>5.351E-006</v>
      </c>
      <c r="P261" s="1" t="n">
        <v>0.04691</v>
      </c>
      <c r="Q261" s="1" t="n">
        <v>0.9941</v>
      </c>
      <c r="R261" s="1" t="n">
        <v>4.51</v>
      </c>
    </row>
    <row r="262" customFormat="false" ht="12.8" hidden="false" customHeight="false" outlineLevel="0" collapsed="false">
      <c r="A262" s="1" t="n">
        <v>13</v>
      </c>
      <c r="B262" s="4" t="str">
        <f aca="false">IF(LEFT(E262,2)="S1","01.11.2024",IF(LEFT(E262,2)="S2","24.07.2025",IF(LEFT(E262,2)="S3","14.04.2025",IF(LEFT(E262,2)="S4","04.12.2025","04.12.2025"))))</f>
        <v>04.12.2025</v>
      </c>
      <c r="C262" s="4" t="str">
        <f aca="false">IF(LEFT(E262,2)="S5","Spritz","Standard")</f>
        <v>Standard</v>
      </c>
      <c r="D262" s="4" t="n">
        <v>2</v>
      </c>
      <c r="E262" s="4" t="s">
        <v>30</v>
      </c>
      <c r="F262" s="1" t="s">
        <v>20</v>
      </c>
      <c r="G262" s="1" t="n">
        <v>108.7</v>
      </c>
      <c r="H262" s="1" t="n">
        <v>100.6</v>
      </c>
      <c r="I262" s="1" t="n">
        <v>25.04</v>
      </c>
      <c r="J262" s="1" t="n">
        <v>0.3185</v>
      </c>
      <c r="K262" s="1" t="n">
        <v>1.758</v>
      </c>
      <c r="L262" s="1" t="n">
        <v>0.1811</v>
      </c>
      <c r="M262" s="1" t="n">
        <v>-0.1696</v>
      </c>
      <c r="N262" s="1" t="n">
        <v>0.5</v>
      </c>
      <c r="O262" s="6" t="n">
        <v>5.336E-006</v>
      </c>
      <c r="P262" s="1" t="n">
        <v>0.05861</v>
      </c>
      <c r="Q262" s="1" t="n">
        <v>0.9194</v>
      </c>
      <c r="R262" s="1" t="n">
        <v>4.929</v>
      </c>
    </row>
    <row r="263" customFormat="false" ht="12.8" hidden="false" customHeight="false" outlineLevel="0" collapsed="false">
      <c r="A263" s="1" t="n">
        <v>14</v>
      </c>
      <c r="B263" s="4" t="str">
        <f aca="false">IF(LEFT(E263,2)="S1","01.11.2024",IF(LEFT(E263,2)="S2","24.07.2025",IF(LEFT(E263,2)="S3","14.04.2025",IF(LEFT(E263,2)="S4","04.12.2025","04.12.2025"))))</f>
        <v>04.12.2025</v>
      </c>
      <c r="C263" s="4" t="str">
        <f aca="false">IF(LEFT(E263,2)="S5","Spritz","Standard")</f>
        <v>Standard</v>
      </c>
      <c r="D263" s="4" t="n">
        <v>2</v>
      </c>
      <c r="E263" s="4" t="s">
        <v>30</v>
      </c>
      <c r="F263" s="1" t="s">
        <v>20</v>
      </c>
      <c r="G263" s="1" t="n">
        <v>116.4</v>
      </c>
      <c r="H263" s="1" t="n">
        <v>108.4</v>
      </c>
      <c r="I263" s="1" t="n">
        <v>25.03</v>
      </c>
      <c r="J263" s="1" t="n">
        <v>0.3521</v>
      </c>
      <c r="K263" s="1" t="n">
        <v>2.197</v>
      </c>
      <c r="L263" s="1" t="n">
        <v>0.1603</v>
      </c>
      <c r="M263" s="1" t="n">
        <v>-0.1699</v>
      </c>
      <c r="N263" s="1" t="n">
        <v>0.5</v>
      </c>
      <c r="O263" s="6" t="n">
        <v>5.899E-006</v>
      </c>
      <c r="P263" s="1" t="n">
        <v>0.07324</v>
      </c>
      <c r="Q263" s="1" t="n">
        <v>0.9316</v>
      </c>
      <c r="R263" s="1" t="n">
        <v>5.452</v>
      </c>
    </row>
    <row r="264" customFormat="false" ht="12.8" hidden="false" customHeight="false" outlineLevel="0" collapsed="false">
      <c r="A264" s="1" t="n">
        <v>15</v>
      </c>
      <c r="B264" s="4" t="str">
        <f aca="false">IF(LEFT(E264,2)="S1","01.11.2024",IF(LEFT(E264,2)="S2","24.07.2025",IF(LEFT(E264,2)="S3","14.04.2025",IF(LEFT(E264,2)="S4","04.12.2025","04.12.2025"))))</f>
        <v>04.12.2025</v>
      </c>
      <c r="C264" s="4" t="str">
        <f aca="false">IF(LEFT(E264,2)="S5","Spritz","Standard")</f>
        <v>Standard</v>
      </c>
      <c r="D264" s="4" t="n">
        <v>2</v>
      </c>
      <c r="E264" s="4" t="s">
        <v>30</v>
      </c>
      <c r="F264" s="1" t="s">
        <v>20</v>
      </c>
      <c r="G264" s="1" t="n">
        <v>124.2</v>
      </c>
      <c r="H264" s="1" t="n">
        <v>116.1</v>
      </c>
      <c r="I264" s="1" t="n">
        <v>25.03</v>
      </c>
      <c r="J264" s="1" t="n">
        <v>0.4374</v>
      </c>
      <c r="K264" s="1" t="n">
        <v>2.746</v>
      </c>
      <c r="L264" s="1" t="n">
        <v>0.1593</v>
      </c>
      <c r="M264" s="1" t="n">
        <v>-0.1702</v>
      </c>
      <c r="N264" s="1" t="n">
        <v>0.5</v>
      </c>
      <c r="O264" s="6" t="n">
        <v>7.327E-006</v>
      </c>
      <c r="P264" s="1" t="n">
        <v>0.09153</v>
      </c>
      <c r="Q264" s="1" t="n">
        <v>0.8478</v>
      </c>
      <c r="R264" s="1" t="n">
        <v>6.105</v>
      </c>
    </row>
    <row r="265" customFormat="false" ht="12.8" hidden="false" customHeight="false" outlineLevel="0" collapsed="false">
      <c r="A265" s="1" t="n">
        <v>16</v>
      </c>
      <c r="B265" s="4" t="str">
        <f aca="false">IF(LEFT(E265,2)="S1","01.11.2024",IF(LEFT(E265,2)="S2","24.07.2025",IF(LEFT(E265,2)="S3","14.04.2025",IF(LEFT(E265,2)="S4","04.12.2025","04.12.2025"))))</f>
        <v>04.12.2025</v>
      </c>
      <c r="C265" s="4" t="str">
        <f aca="false">IF(LEFT(E265,2)="S5","Spritz","Standard")</f>
        <v>Standard</v>
      </c>
      <c r="D265" s="4" t="n">
        <v>2</v>
      </c>
      <c r="E265" s="4" t="s">
        <v>30</v>
      </c>
      <c r="F265" s="1" t="s">
        <v>20</v>
      </c>
      <c r="G265" s="1" t="n">
        <v>131.9</v>
      </c>
      <c r="H265" s="1" t="n">
        <v>123.9</v>
      </c>
      <c r="I265" s="1" t="n">
        <v>25.03</v>
      </c>
      <c r="J265" s="1" t="n">
        <v>0.5504</v>
      </c>
      <c r="K265" s="1" t="n">
        <v>3.431</v>
      </c>
      <c r="L265" s="1" t="n">
        <v>0.1604</v>
      </c>
      <c r="M265" s="1" t="n">
        <v>-0.1678</v>
      </c>
      <c r="N265" s="1" t="n">
        <v>0.5</v>
      </c>
      <c r="O265" s="6" t="n">
        <v>9.221E-006</v>
      </c>
      <c r="P265" s="1" t="n">
        <v>0.1144</v>
      </c>
      <c r="Q265" s="1" t="n">
        <v>0.8988</v>
      </c>
      <c r="R265" s="1" t="n">
        <v>0.6389</v>
      </c>
    </row>
    <row r="266" customFormat="false" ht="12.8" hidden="false" customHeight="false" outlineLevel="0" collapsed="false">
      <c r="A266" s="1" t="n">
        <v>17</v>
      </c>
      <c r="B266" s="4" t="str">
        <f aca="false">IF(LEFT(E266,2)="S1","01.11.2024",IF(LEFT(E266,2)="S2","24.07.2025",IF(LEFT(E266,2)="S3","14.04.2025",IF(LEFT(E266,2)="S4","04.12.2025","04.12.2025"))))</f>
        <v>04.12.2025</v>
      </c>
      <c r="C266" s="4" t="str">
        <f aca="false">IF(LEFT(E266,2)="S5","Spritz","Standard")</f>
        <v>Standard</v>
      </c>
      <c r="D266" s="4" t="n">
        <v>2</v>
      </c>
      <c r="E266" s="4" t="s">
        <v>30</v>
      </c>
      <c r="F266" s="1" t="s">
        <v>20</v>
      </c>
      <c r="G266" s="1" t="n">
        <v>139.6</v>
      </c>
      <c r="H266" s="1" t="n">
        <v>131.6</v>
      </c>
      <c r="I266" s="1" t="n">
        <v>25.03</v>
      </c>
      <c r="J266" s="1" t="n">
        <v>0.4973</v>
      </c>
      <c r="K266" s="1" t="n">
        <v>4.288</v>
      </c>
      <c r="L266" s="1" t="n">
        <v>0.116</v>
      </c>
      <c r="M266" s="1" t="n">
        <v>-0.1702</v>
      </c>
      <c r="N266" s="1" t="n">
        <v>0.5</v>
      </c>
      <c r="O266" s="6" t="n">
        <v>8.331E-006</v>
      </c>
      <c r="P266" s="1" t="n">
        <v>0.1429</v>
      </c>
      <c r="Q266" s="1" t="n">
        <v>0.7394</v>
      </c>
      <c r="R266" s="1" t="n">
        <v>1.66</v>
      </c>
    </row>
    <row r="267" customFormat="false" ht="12.8" hidden="false" customHeight="false" outlineLevel="0" collapsed="false">
      <c r="A267" s="1" t="n">
        <v>18</v>
      </c>
      <c r="B267" s="4" t="str">
        <f aca="false">IF(LEFT(E267,2)="S1","01.11.2024",IF(LEFT(E267,2)="S2","24.07.2025",IF(LEFT(E267,2)="S3","14.04.2025",IF(LEFT(E267,2)="S4","04.12.2025","04.12.2025"))))</f>
        <v>04.12.2025</v>
      </c>
      <c r="C267" s="4" t="str">
        <f aca="false">IF(LEFT(E267,2)="S5","Spritz","Standard")</f>
        <v>Standard</v>
      </c>
      <c r="D267" s="4" t="n">
        <v>2</v>
      </c>
      <c r="E267" s="4" t="s">
        <v>30</v>
      </c>
      <c r="F267" s="1" t="s">
        <v>20</v>
      </c>
      <c r="G267" s="1" t="n">
        <v>147.4</v>
      </c>
      <c r="H267" s="1" t="n">
        <v>139.4</v>
      </c>
      <c r="I267" s="1" t="n">
        <v>25.03</v>
      </c>
      <c r="J267" s="1" t="n">
        <v>0.7234</v>
      </c>
      <c r="K267" s="1" t="n">
        <v>5.358</v>
      </c>
      <c r="L267" s="1" t="n">
        <v>0.135</v>
      </c>
      <c r="M267" s="1" t="n">
        <v>-0.1715</v>
      </c>
      <c r="N267" s="1" t="n">
        <v>0.5</v>
      </c>
      <c r="O267" s="6" t="n">
        <v>1.212E-005</v>
      </c>
      <c r="P267" s="1" t="n">
        <v>0.1786</v>
      </c>
      <c r="Q267" s="1" t="n">
        <v>1.468</v>
      </c>
      <c r="R267" s="1" t="n">
        <v>2.935</v>
      </c>
    </row>
    <row r="268" customFormat="false" ht="12.8" hidden="false" customHeight="false" outlineLevel="0" collapsed="false">
      <c r="A268" s="1" t="n">
        <v>19</v>
      </c>
      <c r="B268" s="4" t="str">
        <f aca="false">IF(LEFT(E268,2)="S1","01.11.2024",IF(LEFT(E268,2)="S2","24.07.2025",IF(LEFT(E268,2)="S3","14.04.2025",IF(LEFT(E268,2)="S4","04.12.2025","04.12.2025"))))</f>
        <v>04.12.2025</v>
      </c>
      <c r="C268" s="4" t="str">
        <f aca="false">IF(LEFT(E268,2)="S5","Spritz","Standard")</f>
        <v>Standard</v>
      </c>
      <c r="D268" s="4" t="n">
        <v>2</v>
      </c>
      <c r="E268" s="4" t="s">
        <v>30</v>
      </c>
      <c r="F268" s="1" t="s">
        <v>20</v>
      </c>
      <c r="G268" s="1" t="n">
        <v>155.1</v>
      </c>
      <c r="H268" s="1" t="n">
        <v>147.1</v>
      </c>
      <c r="I268" s="1" t="n">
        <v>25.02</v>
      </c>
      <c r="J268" s="1" t="n">
        <v>0.636</v>
      </c>
      <c r="K268" s="1" t="n">
        <v>6.695</v>
      </c>
      <c r="L268" s="1" t="n">
        <v>0.09499</v>
      </c>
      <c r="M268" s="1" t="n">
        <v>-0.1734</v>
      </c>
      <c r="N268" s="1" t="n">
        <v>0.5</v>
      </c>
      <c r="O268" s="6" t="n">
        <v>1.065E-005</v>
      </c>
      <c r="P268" s="1" t="n">
        <v>0.2232</v>
      </c>
      <c r="Q268" s="1" t="n">
        <v>1.148</v>
      </c>
      <c r="R268" s="1" t="n">
        <v>4.529</v>
      </c>
    </row>
    <row r="269" customFormat="false" ht="12.8" hidden="false" customHeight="false" outlineLevel="0" collapsed="false">
      <c r="A269" s="1" t="n">
        <v>20</v>
      </c>
      <c r="B269" s="4" t="str">
        <f aca="false">IF(LEFT(E269,2)="S1","01.11.2024",IF(LEFT(E269,2)="S2","24.07.2025",IF(LEFT(E269,2)="S3","14.04.2025",IF(LEFT(E269,2)="S4","04.12.2025","04.12.2025"))))</f>
        <v>04.12.2025</v>
      </c>
      <c r="C269" s="4" t="str">
        <f aca="false">IF(LEFT(E269,2)="S5","Spritz","Standard")</f>
        <v>Standard</v>
      </c>
      <c r="D269" s="4" t="n">
        <v>2</v>
      </c>
      <c r="E269" s="4" t="s">
        <v>30</v>
      </c>
      <c r="F269" s="1" t="s">
        <v>20</v>
      </c>
      <c r="G269" s="1" t="n">
        <v>162.9</v>
      </c>
      <c r="H269" s="1" t="n">
        <v>154.8</v>
      </c>
      <c r="I269" s="1" t="n">
        <v>25.02</v>
      </c>
      <c r="J269" s="1" t="n">
        <v>0.6374</v>
      </c>
      <c r="K269" s="1" t="n">
        <v>8.367</v>
      </c>
      <c r="L269" s="1" t="n">
        <v>0.07618</v>
      </c>
      <c r="M269" s="1" t="n">
        <v>-0.1722</v>
      </c>
      <c r="N269" s="1" t="n">
        <v>0.5</v>
      </c>
      <c r="O269" s="6" t="n">
        <v>1.068E-005</v>
      </c>
      <c r="P269" s="1" t="n">
        <v>0.2789</v>
      </c>
      <c r="Q269" s="1" t="n">
        <v>0.9926</v>
      </c>
      <c r="R269" s="1" t="n">
        <v>0.2386</v>
      </c>
    </row>
    <row r="270" customFormat="false" ht="12.8" hidden="false" customHeight="false" outlineLevel="0" collapsed="false">
      <c r="A270" s="1" t="n">
        <v>21</v>
      </c>
      <c r="B270" s="4" t="str">
        <f aca="false">IF(LEFT(E270,2)="S1","01.11.2024",IF(LEFT(E270,2)="S2","24.07.2025",IF(LEFT(E270,2)="S3","14.04.2025",IF(LEFT(E270,2)="S4","04.12.2025","04.12.2025"))))</f>
        <v>04.12.2025</v>
      </c>
      <c r="C270" s="4" t="str">
        <f aca="false">IF(LEFT(E270,2)="S5","Spritz","Standard")</f>
        <v>Standard</v>
      </c>
      <c r="D270" s="4" t="n">
        <v>2</v>
      </c>
      <c r="E270" s="4" t="s">
        <v>30</v>
      </c>
      <c r="F270" s="1" t="s">
        <v>20</v>
      </c>
      <c r="G270" s="1" t="n">
        <v>170.6</v>
      </c>
      <c r="H270" s="1" t="n">
        <v>162.6</v>
      </c>
      <c r="I270" s="1" t="n">
        <v>25.02</v>
      </c>
      <c r="J270" s="1" t="n">
        <v>0.6852</v>
      </c>
      <c r="K270" s="1" t="n">
        <v>10.46</v>
      </c>
      <c r="L270" s="1" t="n">
        <v>0.06554</v>
      </c>
      <c r="M270" s="1" t="n">
        <v>-0.1724</v>
      </c>
      <c r="N270" s="1" t="n">
        <v>0.5</v>
      </c>
      <c r="O270" s="6" t="n">
        <v>1.148E-005</v>
      </c>
      <c r="P270" s="1" t="n">
        <v>0.3485</v>
      </c>
      <c r="Q270" s="1" t="n">
        <v>0.9592</v>
      </c>
      <c r="R270" s="1" t="n">
        <v>2.727</v>
      </c>
    </row>
    <row r="271" customFormat="false" ht="12.8" hidden="false" customHeight="false" outlineLevel="0" collapsed="false">
      <c r="A271" s="1" t="n">
        <v>22</v>
      </c>
      <c r="B271" s="4" t="str">
        <f aca="false">IF(LEFT(E271,2)="S1","01.11.2024",IF(LEFT(E271,2)="S2","24.07.2025",IF(LEFT(E271,2)="S3","14.04.2025",IF(LEFT(E271,2)="S4","04.12.2025","04.12.2025"))))</f>
        <v>04.12.2025</v>
      </c>
      <c r="C271" s="4" t="str">
        <f aca="false">IF(LEFT(E271,2)="S5","Spritz","Standard")</f>
        <v>Standard</v>
      </c>
      <c r="D271" s="4" t="n">
        <v>2</v>
      </c>
      <c r="E271" s="4" t="s">
        <v>30</v>
      </c>
      <c r="F271" s="1" t="s">
        <v>20</v>
      </c>
      <c r="G271" s="1" t="n">
        <v>178.4</v>
      </c>
      <c r="H271" s="1" t="n">
        <v>170.3</v>
      </c>
      <c r="I271" s="1" t="n">
        <v>25.02</v>
      </c>
      <c r="J271" s="1" t="n">
        <v>0.6184</v>
      </c>
      <c r="K271" s="1" t="n">
        <v>13.07</v>
      </c>
      <c r="L271" s="1" t="n">
        <v>0.04732</v>
      </c>
      <c r="M271" s="1" t="n">
        <v>-0.1725</v>
      </c>
      <c r="N271" s="1" t="n">
        <v>0.5</v>
      </c>
      <c r="O271" s="6" t="n">
        <v>1.036E-005</v>
      </c>
      <c r="P271" s="1" t="n">
        <v>0.4356</v>
      </c>
      <c r="Q271" s="1" t="n">
        <v>0.9376</v>
      </c>
      <c r="R271" s="1" t="n">
        <v>5.839</v>
      </c>
    </row>
    <row r="272" customFormat="false" ht="12.8" hidden="false" customHeight="false" outlineLevel="0" collapsed="false">
      <c r="A272" s="1" t="n">
        <v>23</v>
      </c>
      <c r="B272" s="4" t="str">
        <f aca="false">IF(LEFT(E272,2)="S1","01.11.2024",IF(LEFT(E272,2)="S2","24.07.2025",IF(LEFT(E272,2)="S3","14.04.2025",IF(LEFT(E272,2)="S4","04.12.2025","04.12.2025"))))</f>
        <v>04.12.2025</v>
      </c>
      <c r="C272" s="4" t="str">
        <f aca="false">IF(LEFT(E272,2)="S5","Spritz","Standard")</f>
        <v>Standard</v>
      </c>
      <c r="D272" s="4" t="n">
        <v>2</v>
      </c>
      <c r="E272" s="4" t="s">
        <v>30</v>
      </c>
      <c r="F272" s="1" t="s">
        <v>20</v>
      </c>
      <c r="G272" s="1" t="n">
        <v>186.1</v>
      </c>
      <c r="H272" s="1" t="n">
        <v>178.1</v>
      </c>
      <c r="I272" s="1" t="n">
        <v>25.02</v>
      </c>
      <c r="J272" s="1" t="n">
        <v>0.6996</v>
      </c>
      <c r="K272" s="1" t="n">
        <v>16.33</v>
      </c>
      <c r="L272" s="1" t="n">
        <v>0.04285</v>
      </c>
      <c r="M272" s="1" t="n">
        <v>-0.1726</v>
      </c>
      <c r="N272" s="1" t="n">
        <v>0.5</v>
      </c>
      <c r="O272" s="6" t="n">
        <v>1.172E-005</v>
      </c>
      <c r="P272" s="1" t="n">
        <v>0.5443</v>
      </c>
      <c r="Q272" s="1" t="n">
        <v>1.086</v>
      </c>
      <c r="R272" s="1" t="n">
        <v>3.442</v>
      </c>
    </row>
    <row r="273" customFormat="false" ht="12.8" hidden="false" customHeight="false" outlineLevel="0" collapsed="false">
      <c r="A273" s="1" t="n">
        <v>24</v>
      </c>
      <c r="B273" s="4" t="str">
        <f aca="false">IF(LEFT(E273,2)="S1","01.11.2024",IF(LEFT(E273,2)="S2","24.07.2025",IF(LEFT(E273,2)="S3","14.04.2025",IF(LEFT(E273,2)="S4","04.12.2025","04.12.2025"))))</f>
        <v>04.12.2025</v>
      </c>
      <c r="C273" s="4" t="str">
        <f aca="false">IF(LEFT(E273,2)="S5","Spritz","Standard")</f>
        <v>Standard</v>
      </c>
      <c r="D273" s="4" t="n">
        <v>2</v>
      </c>
      <c r="E273" s="4" t="s">
        <v>30</v>
      </c>
      <c r="F273" s="1" t="s">
        <v>20</v>
      </c>
      <c r="G273" s="1" t="n">
        <v>193.8</v>
      </c>
      <c r="H273" s="1" t="n">
        <v>185.8</v>
      </c>
      <c r="I273" s="1" t="n">
        <v>25.01</v>
      </c>
      <c r="J273" s="1" t="n">
        <v>0.6792</v>
      </c>
      <c r="K273" s="1" t="n">
        <v>20.4</v>
      </c>
      <c r="L273" s="1" t="n">
        <v>0.03329</v>
      </c>
      <c r="M273" s="1" t="n">
        <v>-0.1729</v>
      </c>
      <c r="N273" s="1" t="n">
        <v>0.5</v>
      </c>
      <c r="O273" s="6" t="n">
        <v>1.138E-005</v>
      </c>
      <c r="P273" s="1" t="n">
        <v>0.6801</v>
      </c>
      <c r="Q273" s="1" t="n">
        <v>1.133</v>
      </c>
      <c r="R273" s="1" t="n">
        <v>2.015</v>
      </c>
    </row>
    <row r="274" customFormat="false" ht="12.8" hidden="false" customHeight="false" outlineLevel="0" collapsed="false">
      <c r="A274" s="1" t="n">
        <v>25</v>
      </c>
      <c r="B274" s="4" t="str">
        <f aca="false">IF(LEFT(E274,2)="S1","01.11.2024",IF(LEFT(E274,2)="S2","24.07.2025",IF(LEFT(E274,2)="S3","14.04.2025",IF(LEFT(E274,2)="S4","04.12.2025","04.12.2025"))))</f>
        <v>04.12.2025</v>
      </c>
      <c r="C274" s="4" t="str">
        <f aca="false">IF(LEFT(E274,2)="S5","Spritz","Standard")</f>
        <v>Standard</v>
      </c>
      <c r="D274" s="4" t="n">
        <v>2</v>
      </c>
      <c r="E274" s="4" t="s">
        <v>30</v>
      </c>
      <c r="F274" s="1" t="s">
        <v>20</v>
      </c>
      <c r="G274" s="1" t="n">
        <v>201.6</v>
      </c>
      <c r="H274" s="1" t="n">
        <v>193.5</v>
      </c>
      <c r="I274" s="1" t="n">
        <v>25.02</v>
      </c>
      <c r="J274" s="1" t="n">
        <v>0.883</v>
      </c>
      <c r="K274" s="1" t="n">
        <v>25.5</v>
      </c>
      <c r="L274" s="1" t="n">
        <v>0.03463</v>
      </c>
      <c r="M274" s="1" t="n">
        <v>-0.1709</v>
      </c>
      <c r="N274" s="1" t="n">
        <v>0.5</v>
      </c>
      <c r="O274" s="6" t="n">
        <v>1.479E-005</v>
      </c>
      <c r="P274" s="1" t="n">
        <v>0.8499</v>
      </c>
      <c r="Q274" s="1" t="n">
        <v>0.7658</v>
      </c>
      <c r="R274" s="1" t="n">
        <v>1.804</v>
      </c>
    </row>
    <row r="275" customFormat="false" ht="12.8" hidden="false" customHeight="false" outlineLevel="0" collapsed="false">
      <c r="A275" s="1" t="n">
        <v>26</v>
      </c>
      <c r="B275" s="4" t="str">
        <f aca="false">IF(LEFT(E275,2)="S1","01.11.2024",IF(LEFT(E275,2)="S2","24.07.2025",IF(LEFT(E275,2)="S3","14.04.2025",IF(LEFT(E275,2)="S4","04.12.2025","04.12.2025"))))</f>
        <v>04.12.2025</v>
      </c>
      <c r="C275" s="4" t="str">
        <f aca="false">IF(LEFT(E275,2)="S5","Spritz","Standard")</f>
        <v>Standard</v>
      </c>
      <c r="D275" s="4" t="n">
        <v>2</v>
      </c>
      <c r="E275" s="4" t="s">
        <v>30</v>
      </c>
      <c r="F275" s="1" t="s">
        <v>20</v>
      </c>
      <c r="G275" s="1" t="n">
        <v>209.3</v>
      </c>
      <c r="H275" s="1" t="n">
        <v>201.3</v>
      </c>
      <c r="I275" s="1" t="n">
        <v>25.02</v>
      </c>
      <c r="J275" s="1" t="n">
        <v>0.7363</v>
      </c>
      <c r="K275" s="1" t="n">
        <v>31.86</v>
      </c>
      <c r="L275" s="1" t="n">
        <v>0.02311</v>
      </c>
      <c r="M275" s="1" t="n">
        <v>-0.1729</v>
      </c>
      <c r="N275" s="1" t="n">
        <v>0.5</v>
      </c>
      <c r="O275" s="6" t="n">
        <v>1.234E-005</v>
      </c>
      <c r="P275" s="1" t="n">
        <v>1.062</v>
      </c>
      <c r="Q275" s="1" t="n">
        <v>0.9376</v>
      </c>
      <c r="R275" s="1" t="n">
        <v>3.104</v>
      </c>
    </row>
    <row r="276" customFormat="false" ht="12.8" hidden="false" customHeight="false" outlineLevel="0" collapsed="false">
      <c r="A276" s="1" t="n">
        <v>27</v>
      </c>
      <c r="B276" s="4" t="str">
        <f aca="false">IF(LEFT(E276,2)="S1","01.11.2024",IF(LEFT(E276,2)="S2","24.07.2025",IF(LEFT(E276,2)="S3","14.04.2025",IF(LEFT(E276,2)="S4","04.12.2025","04.12.2025"))))</f>
        <v>04.12.2025</v>
      </c>
      <c r="C276" s="4" t="str">
        <f aca="false">IF(LEFT(E276,2)="S5","Spritz","Standard")</f>
        <v>Standard</v>
      </c>
      <c r="D276" s="4" t="n">
        <v>2</v>
      </c>
      <c r="E276" s="4" t="s">
        <v>30</v>
      </c>
      <c r="F276" s="1" t="s">
        <v>20</v>
      </c>
      <c r="G276" s="1" t="n">
        <v>217.1</v>
      </c>
      <c r="H276" s="1" t="n">
        <v>209</v>
      </c>
      <c r="I276" s="1" t="n">
        <v>25.01</v>
      </c>
      <c r="J276" s="1" t="n">
        <v>0.9088</v>
      </c>
      <c r="K276" s="1" t="n">
        <v>39.81</v>
      </c>
      <c r="L276" s="1" t="n">
        <v>0.02283</v>
      </c>
      <c r="M276" s="1" t="n">
        <v>-0.172</v>
      </c>
      <c r="N276" s="1" t="n">
        <v>0.5</v>
      </c>
      <c r="O276" s="6" t="n">
        <v>1.523E-005</v>
      </c>
      <c r="P276" s="1" t="n">
        <v>1.327</v>
      </c>
      <c r="Q276" s="1" t="n">
        <v>0.9867</v>
      </c>
      <c r="R276" s="1" t="n">
        <v>0.01361</v>
      </c>
    </row>
    <row r="277" customFormat="false" ht="12.8" hidden="false" customHeight="false" outlineLevel="0" collapsed="false">
      <c r="A277" s="1" t="n">
        <v>28</v>
      </c>
      <c r="B277" s="4" t="str">
        <f aca="false">IF(LEFT(E277,2)="S1","01.11.2024",IF(LEFT(E277,2)="S2","24.07.2025",IF(LEFT(E277,2)="S3","14.04.2025",IF(LEFT(E277,2)="S4","04.12.2025","04.12.2025"))))</f>
        <v>04.12.2025</v>
      </c>
      <c r="C277" s="4" t="str">
        <f aca="false">IF(LEFT(E277,2)="S5","Spritz","Standard")</f>
        <v>Standard</v>
      </c>
      <c r="D277" s="4" t="n">
        <v>2</v>
      </c>
      <c r="E277" s="4" t="s">
        <v>30</v>
      </c>
      <c r="F277" s="1" t="s">
        <v>20</v>
      </c>
      <c r="G277" s="1" t="n">
        <v>224.8</v>
      </c>
      <c r="H277" s="1" t="n">
        <v>216.8</v>
      </c>
      <c r="I277" s="1" t="n">
        <v>25.01</v>
      </c>
      <c r="J277" s="1" t="n">
        <v>0.9291</v>
      </c>
      <c r="K277" s="1" t="n">
        <v>49.75</v>
      </c>
      <c r="L277" s="1" t="n">
        <v>0.01868</v>
      </c>
      <c r="M277" s="1" t="n">
        <v>-0.1712</v>
      </c>
      <c r="N277" s="1" t="n">
        <v>0.5</v>
      </c>
      <c r="O277" s="6" t="n">
        <v>1.557E-005</v>
      </c>
      <c r="P277" s="1" t="n">
        <v>1.658</v>
      </c>
      <c r="Q277" s="1" t="n">
        <v>0.7308</v>
      </c>
      <c r="R277" s="1" t="n">
        <v>5.58</v>
      </c>
    </row>
    <row r="278" customFormat="false" ht="12.8" hidden="false" customHeight="false" outlineLevel="0" collapsed="false">
      <c r="A278" s="1" t="n">
        <v>29</v>
      </c>
      <c r="B278" s="4" t="str">
        <f aca="false">IF(LEFT(E278,2)="S1","01.11.2024",IF(LEFT(E278,2)="S2","24.07.2025",IF(LEFT(E278,2)="S3","14.04.2025",IF(LEFT(E278,2)="S4","04.12.2025","04.12.2025"))))</f>
        <v>04.12.2025</v>
      </c>
      <c r="C278" s="4" t="str">
        <f aca="false">IF(LEFT(E278,2)="S5","Spritz","Standard")</f>
        <v>Standard</v>
      </c>
      <c r="D278" s="4" t="n">
        <v>2</v>
      </c>
      <c r="E278" s="4" t="s">
        <v>30</v>
      </c>
      <c r="F278" s="1" t="s">
        <v>20</v>
      </c>
      <c r="G278" s="1" t="n">
        <v>232.5</v>
      </c>
      <c r="H278" s="1" t="n">
        <v>224.5</v>
      </c>
      <c r="I278" s="1" t="n">
        <v>25.01</v>
      </c>
      <c r="J278" s="1" t="n">
        <v>1.102</v>
      </c>
      <c r="K278" s="1" t="n">
        <v>62.17</v>
      </c>
      <c r="L278" s="1" t="n">
        <v>0.01773</v>
      </c>
      <c r="M278" s="1" t="n">
        <v>-0.1713</v>
      </c>
      <c r="N278" s="1" t="n">
        <v>0.5</v>
      </c>
      <c r="O278" s="6" t="n">
        <v>1.846E-005</v>
      </c>
      <c r="P278" s="1" t="n">
        <v>2.072</v>
      </c>
      <c r="Q278" s="1" t="n">
        <v>1.064</v>
      </c>
      <c r="R278" s="1" t="n">
        <v>1.527</v>
      </c>
    </row>
    <row r="279" customFormat="false" ht="12.8" hidden="false" customHeight="false" outlineLevel="0" collapsed="false">
      <c r="A279" s="1" t="n">
        <v>30</v>
      </c>
      <c r="B279" s="4" t="str">
        <f aca="false">IF(LEFT(E279,2)="S1","01.11.2024",IF(LEFT(E279,2)="S2","24.07.2025",IF(LEFT(E279,2)="S3","14.04.2025",IF(LEFT(E279,2)="S4","04.12.2025","04.12.2025"))))</f>
        <v>04.12.2025</v>
      </c>
      <c r="C279" s="4" t="str">
        <f aca="false">IF(LEFT(E279,2)="S5","Spritz","Standard")</f>
        <v>Standard</v>
      </c>
      <c r="D279" s="4" t="n">
        <v>2</v>
      </c>
      <c r="E279" s="4" t="s">
        <v>30</v>
      </c>
      <c r="F279" s="1" t="s">
        <v>20</v>
      </c>
      <c r="G279" s="1" t="n">
        <v>240.3</v>
      </c>
      <c r="H279" s="1" t="n">
        <v>232.3</v>
      </c>
      <c r="I279" s="1" t="n">
        <v>25.01</v>
      </c>
      <c r="J279" s="1" t="n">
        <v>1.204</v>
      </c>
      <c r="K279" s="1" t="n">
        <v>77.69</v>
      </c>
      <c r="L279" s="1" t="n">
        <v>0.0155</v>
      </c>
      <c r="M279" s="1" t="n">
        <v>-0.1722</v>
      </c>
      <c r="N279" s="1" t="n">
        <v>0.5</v>
      </c>
      <c r="O279" s="6" t="n">
        <v>2.017E-005</v>
      </c>
      <c r="P279" s="1" t="n">
        <v>2.59</v>
      </c>
      <c r="Q279" s="1" t="n">
        <v>1.598</v>
      </c>
      <c r="R279" s="1" t="n">
        <v>1.182</v>
      </c>
    </row>
    <row r="280" customFormat="false" ht="12.8" hidden="false" customHeight="false" outlineLevel="0" collapsed="false">
      <c r="A280" s="1" t="n">
        <v>31</v>
      </c>
      <c r="B280" s="4" t="str">
        <f aca="false">IF(LEFT(E280,2)="S1","01.11.2024",IF(LEFT(E280,2)="S2","24.07.2025",IF(LEFT(E280,2)="S3","14.04.2025",IF(LEFT(E280,2)="S4","04.12.2025","04.12.2025"))))</f>
        <v>04.12.2025</v>
      </c>
      <c r="C280" s="4" t="str">
        <f aca="false">IF(LEFT(E280,2)="S5","Spritz","Standard")</f>
        <v>Standard</v>
      </c>
      <c r="D280" s="4" t="n">
        <v>2</v>
      </c>
      <c r="E280" s="4" t="s">
        <v>30</v>
      </c>
      <c r="F280" s="1" t="s">
        <v>20</v>
      </c>
      <c r="G280" s="1" t="n">
        <v>248</v>
      </c>
      <c r="H280" s="1" t="n">
        <v>240</v>
      </c>
      <c r="I280" s="1" t="n">
        <v>25.01</v>
      </c>
      <c r="J280" s="1" t="n">
        <v>1.299</v>
      </c>
      <c r="K280" s="1" t="n">
        <v>97.08</v>
      </c>
      <c r="L280" s="1" t="n">
        <v>0.01338</v>
      </c>
      <c r="M280" s="1" t="n">
        <v>-0.1726</v>
      </c>
      <c r="N280" s="1" t="n">
        <v>0.5</v>
      </c>
      <c r="O280" s="6" t="n">
        <v>2.176E-005</v>
      </c>
      <c r="P280" s="1" t="n">
        <v>3.236</v>
      </c>
      <c r="Q280" s="1" t="n">
        <v>1.116</v>
      </c>
      <c r="R280" s="1" t="n">
        <v>5.44</v>
      </c>
    </row>
    <row r="281" customFormat="false" ht="12.8" hidden="false" customHeight="false" outlineLevel="0" collapsed="false">
      <c r="A281" s="1" t="n">
        <v>1</v>
      </c>
      <c r="B281" s="4" t="s">
        <v>31</v>
      </c>
      <c r="C281" s="4" t="str">
        <f aca="false">IF(LEFT(E281,2)="S5","Spritz","Standard")</f>
        <v>Standard</v>
      </c>
      <c r="D281" s="4" t="n">
        <f aca="false">IF(RIGHT(E281,2)=".1",1,IF(RIGHT(E281,2)=".2",2,0))</f>
        <v>0</v>
      </c>
      <c r="E281" s="5" t="s">
        <v>32</v>
      </c>
      <c r="F281" s="1" t="s">
        <v>20</v>
      </c>
      <c r="G281" s="1" t="n">
        <v>14.51</v>
      </c>
      <c r="H281" s="1" t="n">
        <v>7.74</v>
      </c>
      <c r="I281" s="1" t="n">
        <v>25.08</v>
      </c>
      <c r="J281" s="1" t="n">
        <v>0.6422</v>
      </c>
      <c r="K281" s="1" t="n">
        <v>0.1213</v>
      </c>
      <c r="L281" s="1" t="n">
        <v>5.296</v>
      </c>
      <c r="M281" s="1" t="n">
        <v>-0.1038</v>
      </c>
      <c r="N281" s="1" t="n">
        <v>0.5</v>
      </c>
      <c r="O281" s="6" t="n">
        <v>1.076E-005</v>
      </c>
      <c r="P281" s="6" t="n">
        <v>0.004042</v>
      </c>
      <c r="Q281" s="1" t="n">
        <v>0.912</v>
      </c>
      <c r="R281" s="1" t="n">
        <v>5.69</v>
      </c>
    </row>
    <row r="282" customFormat="false" ht="12.8" hidden="false" customHeight="false" outlineLevel="0" collapsed="false">
      <c r="A282" s="1" t="n">
        <v>2</v>
      </c>
      <c r="B282" s="4" t="s">
        <v>31</v>
      </c>
      <c r="C282" s="4" t="str">
        <f aca="false">IF(LEFT(E282,2)="S5","Spritz","Standard")</f>
        <v>Standard</v>
      </c>
      <c r="D282" s="4" t="n">
        <f aca="false">IF(RIGHT(E282,2)=".1",1,IF(RIGHT(E282,2)=".2",2,0))</f>
        <v>0</v>
      </c>
      <c r="E282" s="5" t="s">
        <v>32</v>
      </c>
      <c r="F282" s="1" t="s">
        <v>20</v>
      </c>
      <c r="G282" s="1" t="n">
        <v>22.25</v>
      </c>
      <c r="H282" s="1" t="n">
        <v>15.49</v>
      </c>
      <c r="I282" s="1" t="n">
        <v>25.08</v>
      </c>
      <c r="J282" s="1" t="n">
        <v>0.7317</v>
      </c>
      <c r="K282" s="1" t="n">
        <v>0.1515</v>
      </c>
      <c r="L282" s="1" t="n">
        <v>4.829</v>
      </c>
      <c r="M282" s="1" t="n">
        <v>-0.1069</v>
      </c>
      <c r="N282" s="1" t="n">
        <v>0.5</v>
      </c>
      <c r="O282" s="6" t="n">
        <v>1.226E-005</v>
      </c>
      <c r="P282" s="6" t="n">
        <v>0.005052</v>
      </c>
      <c r="Q282" s="1" t="n">
        <v>0.9854</v>
      </c>
      <c r="R282" s="1" t="n">
        <v>5.726</v>
      </c>
    </row>
    <row r="283" customFormat="false" ht="12.8" hidden="false" customHeight="false" outlineLevel="0" collapsed="false">
      <c r="A283" s="1" t="n">
        <v>3</v>
      </c>
      <c r="B283" s="4" t="s">
        <v>31</v>
      </c>
      <c r="C283" s="4" t="str">
        <f aca="false">IF(LEFT(E283,2)="S5","Spritz","Standard")</f>
        <v>Standard</v>
      </c>
      <c r="D283" s="4" t="n">
        <f aca="false">IF(RIGHT(E283,2)=".1",1,IF(RIGHT(E283,2)=".2",2,0))</f>
        <v>0</v>
      </c>
      <c r="E283" s="5" t="s">
        <v>32</v>
      </c>
      <c r="F283" s="1" t="s">
        <v>20</v>
      </c>
      <c r="G283" s="1" t="n">
        <v>29.99</v>
      </c>
      <c r="H283" s="1" t="n">
        <v>23.22</v>
      </c>
      <c r="I283" s="1" t="n">
        <v>25.08</v>
      </c>
      <c r="J283" s="1" t="n">
        <v>0.6974</v>
      </c>
      <c r="K283" s="1" t="n">
        <v>0.1894</v>
      </c>
      <c r="L283" s="1" t="n">
        <v>3.683</v>
      </c>
      <c r="M283" s="1" t="n">
        <v>-0.112</v>
      </c>
      <c r="N283" s="1" t="n">
        <v>0.5</v>
      </c>
      <c r="O283" s="6" t="n">
        <v>1.168E-005</v>
      </c>
      <c r="P283" s="6" t="n">
        <v>0.006312</v>
      </c>
      <c r="Q283" s="1" t="n">
        <v>1.032</v>
      </c>
      <c r="R283" s="1" t="n">
        <v>5.771</v>
      </c>
    </row>
    <row r="284" customFormat="false" ht="12.8" hidden="false" customHeight="false" outlineLevel="0" collapsed="false">
      <c r="A284" s="1" t="n">
        <v>4</v>
      </c>
      <c r="B284" s="4" t="s">
        <v>31</v>
      </c>
      <c r="C284" s="4" t="str">
        <f aca="false">IF(LEFT(E284,2)="S5","Spritz","Standard")</f>
        <v>Standard</v>
      </c>
      <c r="D284" s="4" t="n">
        <f aca="false">IF(RIGHT(E284,2)=".1",1,IF(RIGHT(E284,2)=".2",2,0))</f>
        <v>0</v>
      </c>
      <c r="E284" s="5" t="s">
        <v>32</v>
      </c>
      <c r="F284" s="1" t="s">
        <v>20</v>
      </c>
      <c r="G284" s="1" t="n">
        <v>37.74</v>
      </c>
      <c r="H284" s="1" t="n">
        <v>30.97</v>
      </c>
      <c r="I284" s="1" t="n">
        <v>25.08</v>
      </c>
      <c r="J284" s="1" t="n">
        <v>0.6301</v>
      </c>
      <c r="K284" s="1" t="n">
        <v>0.2366</v>
      </c>
      <c r="L284" s="1" t="n">
        <v>2.663</v>
      </c>
      <c r="M284" s="1" t="n">
        <v>-0.1153</v>
      </c>
      <c r="N284" s="1" t="n">
        <v>0.5</v>
      </c>
      <c r="O284" s="6" t="n">
        <v>1.056E-005</v>
      </c>
      <c r="P284" s="6" t="n">
        <v>0.007889</v>
      </c>
      <c r="Q284" s="1" t="n">
        <v>0.9458</v>
      </c>
      <c r="R284" s="1" t="n">
        <v>5.828</v>
      </c>
    </row>
    <row r="285" customFormat="false" ht="12.8" hidden="false" customHeight="false" outlineLevel="0" collapsed="false">
      <c r="A285" s="1" t="n">
        <v>5</v>
      </c>
      <c r="B285" s="4" t="s">
        <v>31</v>
      </c>
      <c r="C285" s="4" t="str">
        <f aca="false">IF(LEFT(E285,2)="S5","Spritz","Standard")</f>
        <v>Standard</v>
      </c>
      <c r="D285" s="4" t="n">
        <f aca="false">IF(RIGHT(E285,2)=".1",1,IF(RIGHT(E285,2)=".2",2,0))</f>
        <v>0</v>
      </c>
      <c r="E285" s="5" t="s">
        <v>32</v>
      </c>
      <c r="F285" s="1" t="s">
        <v>20</v>
      </c>
      <c r="G285" s="1" t="n">
        <v>45.48</v>
      </c>
      <c r="H285" s="1" t="n">
        <v>38.71</v>
      </c>
      <c r="I285" s="1" t="n">
        <v>25.08</v>
      </c>
      <c r="J285" s="1" t="n">
        <v>0.7124</v>
      </c>
      <c r="K285" s="1" t="n">
        <v>0.2957</v>
      </c>
      <c r="L285" s="1" t="n">
        <v>2.409</v>
      </c>
      <c r="M285" s="1" t="n">
        <v>-0.1169</v>
      </c>
      <c r="N285" s="1" t="n">
        <v>0.5</v>
      </c>
      <c r="O285" s="6" t="n">
        <v>1.193E-005</v>
      </c>
      <c r="P285" s="6" t="n">
        <v>0.009857</v>
      </c>
      <c r="Q285" s="1" t="n">
        <v>0.9165</v>
      </c>
      <c r="R285" s="1" t="n">
        <v>5.898</v>
      </c>
    </row>
    <row r="286" customFormat="false" ht="12.8" hidden="false" customHeight="false" outlineLevel="0" collapsed="false">
      <c r="A286" s="1" t="n">
        <v>6</v>
      </c>
      <c r="B286" s="4" t="s">
        <v>31</v>
      </c>
      <c r="C286" s="4" t="str">
        <f aca="false">IF(LEFT(E286,2)="S5","Spritz","Standard")</f>
        <v>Standard</v>
      </c>
      <c r="D286" s="4" t="n">
        <f aca="false">IF(RIGHT(E286,2)=".1",1,IF(RIGHT(E286,2)=".2",2,0))</f>
        <v>0</v>
      </c>
      <c r="E286" s="5" t="s">
        <v>32</v>
      </c>
      <c r="F286" s="1" t="s">
        <v>20</v>
      </c>
      <c r="G286" s="1" t="n">
        <v>53.22</v>
      </c>
      <c r="H286" s="1" t="n">
        <v>46.45</v>
      </c>
      <c r="I286" s="1" t="n">
        <v>25.08</v>
      </c>
      <c r="J286" s="1" t="n">
        <v>0.6496</v>
      </c>
      <c r="K286" s="1" t="n">
        <v>0.3695</v>
      </c>
      <c r="L286" s="1" t="n">
        <v>1.758</v>
      </c>
      <c r="M286" s="1" t="n">
        <v>-0.12</v>
      </c>
      <c r="N286" s="1" t="n">
        <v>0.5</v>
      </c>
      <c r="O286" s="6" t="n">
        <v>1.088E-005</v>
      </c>
      <c r="P286" s="1" t="n">
        <v>0.01232</v>
      </c>
      <c r="Q286" s="1" t="n">
        <v>1.076</v>
      </c>
      <c r="R286" s="1" t="n">
        <v>5.986</v>
      </c>
    </row>
    <row r="287" customFormat="false" ht="12.8" hidden="false" customHeight="false" outlineLevel="0" collapsed="false">
      <c r="A287" s="1" t="n">
        <v>7</v>
      </c>
      <c r="B287" s="4" t="s">
        <v>31</v>
      </c>
      <c r="C287" s="4" t="str">
        <f aca="false">IF(LEFT(E287,2)="S5","Spritz","Standard")</f>
        <v>Standard</v>
      </c>
      <c r="D287" s="4" t="n">
        <f aca="false">IF(RIGHT(E287,2)=".1",1,IF(RIGHT(E287,2)=".2",2,0))</f>
        <v>0</v>
      </c>
      <c r="E287" s="5" t="s">
        <v>32</v>
      </c>
      <c r="F287" s="1" t="s">
        <v>20</v>
      </c>
      <c r="G287" s="1" t="n">
        <v>60.96</v>
      </c>
      <c r="H287" s="1" t="n">
        <v>54.2</v>
      </c>
      <c r="I287" s="1" t="n">
        <v>25.08</v>
      </c>
      <c r="J287" s="1" t="n">
        <v>0.7081</v>
      </c>
      <c r="K287" s="1" t="n">
        <v>0.4618</v>
      </c>
      <c r="L287" s="1" t="n">
        <v>1.533</v>
      </c>
      <c r="M287" s="1" t="n">
        <v>-0.122</v>
      </c>
      <c r="N287" s="1" t="n">
        <v>0.5</v>
      </c>
      <c r="O287" s="6" t="n">
        <v>1.186E-005</v>
      </c>
      <c r="P287" s="1" t="n">
        <v>0.01539</v>
      </c>
      <c r="Q287" s="1" t="n">
        <v>0.902</v>
      </c>
      <c r="R287" s="1" t="n">
        <v>6.096</v>
      </c>
    </row>
    <row r="288" customFormat="false" ht="12.8" hidden="false" customHeight="false" outlineLevel="0" collapsed="false">
      <c r="A288" s="1" t="n">
        <v>8</v>
      </c>
      <c r="B288" s="4" t="s">
        <v>31</v>
      </c>
      <c r="C288" s="4" t="str">
        <f aca="false">IF(LEFT(E288,2)="S5","Spritz","Standard")</f>
        <v>Standard</v>
      </c>
      <c r="D288" s="4" t="n">
        <f aca="false">IF(RIGHT(E288,2)=".1",1,IF(RIGHT(E288,2)=".2",2,0))</f>
        <v>0</v>
      </c>
      <c r="E288" s="5" t="s">
        <v>32</v>
      </c>
      <c r="F288" s="1" t="s">
        <v>20</v>
      </c>
      <c r="G288" s="1" t="n">
        <v>68.7</v>
      </c>
      <c r="H288" s="1" t="n">
        <v>61.94</v>
      </c>
      <c r="I288" s="1" t="n">
        <v>25.07</v>
      </c>
      <c r="J288" s="1" t="n">
        <v>0.6851</v>
      </c>
      <c r="K288" s="1" t="n">
        <v>0.577</v>
      </c>
      <c r="L288" s="1" t="n">
        <v>1.187</v>
      </c>
      <c r="M288" s="1" t="n">
        <v>-0.1249</v>
      </c>
      <c r="N288" s="1" t="n">
        <v>0.5</v>
      </c>
      <c r="O288" s="6" t="n">
        <v>1.148E-005</v>
      </c>
      <c r="P288" s="1" t="n">
        <v>0.01924</v>
      </c>
      <c r="Q288" s="1" t="n">
        <v>0.8808</v>
      </c>
      <c r="R288" s="1" t="n">
        <v>6.233</v>
      </c>
    </row>
    <row r="289" customFormat="false" ht="12.8" hidden="false" customHeight="false" outlineLevel="0" collapsed="false">
      <c r="A289" s="1" t="n">
        <v>9</v>
      </c>
      <c r="B289" s="4" t="s">
        <v>31</v>
      </c>
      <c r="C289" s="4" t="str">
        <f aca="false">IF(LEFT(E289,2)="S5","Spritz","Standard")</f>
        <v>Standard</v>
      </c>
      <c r="D289" s="4" t="n">
        <f aca="false">IF(RIGHT(E289,2)=".1",1,IF(RIGHT(E289,2)=".2",2,0))</f>
        <v>0</v>
      </c>
      <c r="E289" s="5" t="s">
        <v>32</v>
      </c>
      <c r="F289" s="1" t="s">
        <v>20</v>
      </c>
      <c r="G289" s="1" t="n">
        <v>76.44</v>
      </c>
      <c r="H289" s="1" t="n">
        <v>69.68</v>
      </c>
      <c r="I289" s="1" t="n">
        <v>25.06</v>
      </c>
      <c r="J289" s="1" t="n">
        <v>0.6439</v>
      </c>
      <c r="K289" s="1" t="n">
        <v>0.721</v>
      </c>
      <c r="L289" s="1" t="n">
        <v>0.893</v>
      </c>
      <c r="M289" s="1" t="n">
        <v>-0.1262</v>
      </c>
      <c r="N289" s="1" t="n">
        <v>0.5</v>
      </c>
      <c r="O289" s="6" t="n">
        <v>1.079E-005</v>
      </c>
      <c r="P289" s="1" t="n">
        <v>0.02404</v>
      </c>
      <c r="Q289" s="1" t="n">
        <v>0.9976</v>
      </c>
      <c r="R289" s="1" t="n">
        <v>0.1219</v>
      </c>
    </row>
    <row r="290" customFormat="false" ht="12.8" hidden="false" customHeight="false" outlineLevel="0" collapsed="false">
      <c r="A290" s="1" t="n">
        <v>10</v>
      </c>
      <c r="B290" s="4" t="s">
        <v>31</v>
      </c>
      <c r="C290" s="4" t="str">
        <f aca="false">IF(LEFT(E290,2)="S5","Spritz","Standard")</f>
        <v>Standard</v>
      </c>
      <c r="D290" s="4" t="n">
        <f aca="false">IF(RIGHT(E290,2)=".1",1,IF(RIGHT(E290,2)=".2",2,0))</f>
        <v>0</v>
      </c>
      <c r="E290" s="5" t="s">
        <v>32</v>
      </c>
      <c r="F290" s="1" t="s">
        <v>20</v>
      </c>
      <c r="G290" s="1" t="n">
        <v>84.19</v>
      </c>
      <c r="H290" s="1" t="n">
        <v>77.42</v>
      </c>
      <c r="I290" s="1" t="n">
        <v>25.06</v>
      </c>
      <c r="J290" s="1" t="n">
        <v>0.6883</v>
      </c>
      <c r="K290" s="1" t="n">
        <v>0.9011</v>
      </c>
      <c r="L290" s="1" t="n">
        <v>0.7638</v>
      </c>
      <c r="M290" s="1" t="n">
        <v>-0.1252</v>
      </c>
      <c r="N290" s="1" t="n">
        <v>0.5</v>
      </c>
      <c r="O290" s="6" t="n">
        <v>1.153E-005</v>
      </c>
      <c r="P290" s="1" t="n">
        <v>0.03004</v>
      </c>
      <c r="Q290" s="1" t="n">
        <v>0.9816</v>
      </c>
      <c r="R290" s="1" t="n">
        <v>0.3365</v>
      </c>
    </row>
    <row r="291" customFormat="false" ht="12.8" hidden="false" customHeight="false" outlineLevel="0" collapsed="false">
      <c r="A291" s="1" t="n">
        <v>11</v>
      </c>
      <c r="B291" s="4" t="s">
        <v>31</v>
      </c>
      <c r="C291" s="4" t="str">
        <f aca="false">IF(LEFT(E291,2)="S5","Spritz","Standard")</f>
        <v>Standard</v>
      </c>
      <c r="D291" s="4" t="n">
        <f aca="false">IF(RIGHT(E291,2)=".1",1,IF(RIGHT(E291,2)=".2",2,0))</f>
        <v>0</v>
      </c>
      <c r="E291" s="5" t="s">
        <v>32</v>
      </c>
      <c r="F291" s="1" t="s">
        <v>20</v>
      </c>
      <c r="G291" s="1" t="n">
        <v>91.93</v>
      </c>
      <c r="H291" s="1" t="n">
        <v>85.16</v>
      </c>
      <c r="I291" s="1" t="n">
        <v>25.05</v>
      </c>
      <c r="J291" s="1" t="n">
        <v>0.6969</v>
      </c>
      <c r="K291" s="1" t="n">
        <v>1.126</v>
      </c>
      <c r="L291" s="1" t="n">
        <v>0.6189</v>
      </c>
      <c r="M291" s="1" t="n">
        <v>-0.1254</v>
      </c>
      <c r="N291" s="1" t="n">
        <v>0.5</v>
      </c>
      <c r="O291" s="6" t="n">
        <v>1.168E-005</v>
      </c>
      <c r="P291" s="1" t="n">
        <v>0.03753</v>
      </c>
      <c r="Q291" s="1" t="n">
        <v>1.099</v>
      </c>
      <c r="R291" s="1" t="n">
        <v>0.6046</v>
      </c>
    </row>
    <row r="292" customFormat="false" ht="12.8" hidden="false" customHeight="false" outlineLevel="0" collapsed="false">
      <c r="A292" s="1" t="n">
        <v>12</v>
      </c>
      <c r="B292" s="4" t="s">
        <v>31</v>
      </c>
      <c r="C292" s="4" t="str">
        <f aca="false">IF(LEFT(E292,2)="S5","Spritz","Standard")</f>
        <v>Standard</v>
      </c>
      <c r="D292" s="4" t="n">
        <f aca="false">IF(RIGHT(E292,2)=".1",1,IF(RIGHT(E292,2)=".2",2,0))</f>
        <v>0</v>
      </c>
      <c r="E292" s="5" t="s">
        <v>32</v>
      </c>
      <c r="F292" s="1" t="s">
        <v>20</v>
      </c>
      <c r="G292" s="1" t="n">
        <v>99.67</v>
      </c>
      <c r="H292" s="1" t="n">
        <v>92.9</v>
      </c>
      <c r="I292" s="1" t="n">
        <v>25.05</v>
      </c>
      <c r="J292" s="1" t="n">
        <v>0.5946</v>
      </c>
      <c r="K292" s="1" t="n">
        <v>1.407</v>
      </c>
      <c r="L292" s="1" t="n">
        <v>0.4225</v>
      </c>
      <c r="M292" s="1" t="n">
        <v>-0.1278</v>
      </c>
      <c r="N292" s="1" t="n">
        <v>0.5</v>
      </c>
      <c r="O292" s="6" t="n">
        <v>9.961E-006</v>
      </c>
      <c r="P292" s="1" t="n">
        <v>0.04691</v>
      </c>
      <c r="Q292" s="1" t="n">
        <v>1.058</v>
      </c>
      <c r="R292" s="1" t="n">
        <v>0.9397</v>
      </c>
    </row>
    <row r="293" customFormat="false" ht="12.8" hidden="false" customHeight="false" outlineLevel="0" collapsed="false">
      <c r="A293" s="1" t="n">
        <v>13</v>
      </c>
      <c r="B293" s="4" t="s">
        <v>31</v>
      </c>
      <c r="C293" s="4" t="str">
        <f aca="false">IF(LEFT(E293,2)="S5","Spritz","Standard")</f>
        <v>Standard</v>
      </c>
      <c r="D293" s="4" t="n">
        <f aca="false">IF(RIGHT(E293,2)=".1",1,IF(RIGHT(E293,2)=".2",2,0))</f>
        <v>0</v>
      </c>
      <c r="E293" s="5" t="s">
        <v>32</v>
      </c>
      <c r="F293" s="1" t="s">
        <v>20</v>
      </c>
      <c r="G293" s="1" t="n">
        <v>107.4</v>
      </c>
      <c r="H293" s="1" t="n">
        <v>100.6</v>
      </c>
      <c r="I293" s="1" t="n">
        <v>25.05</v>
      </c>
      <c r="J293" s="1" t="n">
        <v>0.8272</v>
      </c>
      <c r="K293" s="1" t="n">
        <v>1.758</v>
      </c>
      <c r="L293" s="1" t="n">
        <v>0.4704</v>
      </c>
      <c r="M293" s="1" t="n">
        <v>-0.1274</v>
      </c>
      <c r="N293" s="1" t="n">
        <v>0.5</v>
      </c>
      <c r="O293" s="6" t="n">
        <v>1.386E-005</v>
      </c>
      <c r="P293" s="1" t="n">
        <v>0.05861</v>
      </c>
      <c r="Q293" s="1" t="n">
        <v>0.9805</v>
      </c>
      <c r="R293" s="1" t="n">
        <v>1.358</v>
      </c>
    </row>
    <row r="294" customFormat="false" ht="12.8" hidden="false" customHeight="false" outlineLevel="0" collapsed="false">
      <c r="A294" s="1" t="n">
        <v>14</v>
      </c>
      <c r="B294" s="4" t="s">
        <v>31</v>
      </c>
      <c r="C294" s="4" t="str">
        <f aca="false">IF(LEFT(E294,2)="S5","Spritz","Standard")</f>
        <v>Standard</v>
      </c>
      <c r="D294" s="4" t="n">
        <f aca="false">IF(RIGHT(E294,2)=".1",1,IF(RIGHT(E294,2)=".2",2,0))</f>
        <v>0</v>
      </c>
      <c r="E294" s="5" t="s">
        <v>32</v>
      </c>
      <c r="F294" s="1" t="s">
        <v>20</v>
      </c>
      <c r="G294" s="1" t="n">
        <v>115.2</v>
      </c>
      <c r="H294" s="1" t="n">
        <v>108.4</v>
      </c>
      <c r="I294" s="1" t="n">
        <v>25.04</v>
      </c>
      <c r="J294" s="1" t="n">
        <v>0.9345</v>
      </c>
      <c r="K294" s="1" t="n">
        <v>2.197</v>
      </c>
      <c r="L294" s="1" t="n">
        <v>0.4253</v>
      </c>
      <c r="M294" s="1" t="n">
        <v>-0.1294</v>
      </c>
      <c r="N294" s="1" t="n">
        <v>0.5</v>
      </c>
      <c r="O294" s="6" t="n">
        <v>1.566E-005</v>
      </c>
      <c r="P294" s="1" t="n">
        <v>0.07324</v>
      </c>
      <c r="Q294" s="1" t="n">
        <v>1.132</v>
      </c>
      <c r="R294" s="1" t="n">
        <v>1.881</v>
      </c>
    </row>
    <row r="295" customFormat="false" ht="12.8" hidden="false" customHeight="false" outlineLevel="0" collapsed="false">
      <c r="A295" s="1" t="n">
        <v>15</v>
      </c>
      <c r="B295" s="4" t="s">
        <v>31</v>
      </c>
      <c r="C295" s="4" t="str">
        <f aca="false">IF(LEFT(E295,2)="S5","Spritz","Standard")</f>
        <v>Standard</v>
      </c>
      <c r="D295" s="4" t="n">
        <f aca="false">IF(RIGHT(E295,2)=".1",1,IF(RIGHT(E295,2)=".2",2,0))</f>
        <v>0</v>
      </c>
      <c r="E295" s="5" t="s">
        <v>32</v>
      </c>
      <c r="F295" s="1" t="s">
        <v>20</v>
      </c>
      <c r="G295" s="1" t="n">
        <v>122.9</v>
      </c>
      <c r="H295" s="1" t="n">
        <v>116.1</v>
      </c>
      <c r="I295" s="1" t="n">
        <v>25.04</v>
      </c>
      <c r="J295" s="1" t="n">
        <v>0.8485</v>
      </c>
      <c r="K295" s="1" t="n">
        <v>2.746</v>
      </c>
      <c r="L295" s="1" t="n">
        <v>0.309</v>
      </c>
      <c r="M295" s="1" t="n">
        <v>-0.1294</v>
      </c>
      <c r="N295" s="1" t="n">
        <v>0.5</v>
      </c>
      <c r="O295" s="6" t="n">
        <v>1.421E-005</v>
      </c>
      <c r="P295" s="1" t="n">
        <v>0.09153</v>
      </c>
      <c r="Q295" s="1" t="n">
        <v>0.7299</v>
      </c>
      <c r="R295" s="1" t="n">
        <v>2.535</v>
      </c>
    </row>
    <row r="296" customFormat="false" ht="12.8" hidden="false" customHeight="false" outlineLevel="0" collapsed="false">
      <c r="A296" s="1" t="n">
        <v>16</v>
      </c>
      <c r="B296" s="4" t="s">
        <v>31</v>
      </c>
      <c r="C296" s="4" t="str">
        <f aca="false">IF(LEFT(E296,2)="S5","Spritz","Standard")</f>
        <v>Standard</v>
      </c>
      <c r="D296" s="4" t="n">
        <f aca="false">IF(RIGHT(E296,2)=".1",1,IF(RIGHT(E296,2)=".2",2,0))</f>
        <v>0</v>
      </c>
      <c r="E296" s="5" t="s">
        <v>32</v>
      </c>
      <c r="F296" s="1" t="s">
        <v>20</v>
      </c>
      <c r="G296" s="1" t="n">
        <v>130.6</v>
      </c>
      <c r="H296" s="1" t="n">
        <v>123.9</v>
      </c>
      <c r="I296" s="1" t="n">
        <v>25.03</v>
      </c>
      <c r="J296" s="1" t="n">
        <v>0.8434</v>
      </c>
      <c r="K296" s="1" t="n">
        <v>3.431</v>
      </c>
      <c r="L296" s="1" t="n">
        <v>0.2458</v>
      </c>
      <c r="M296" s="1" t="n">
        <v>-0.1312</v>
      </c>
      <c r="N296" s="1" t="n">
        <v>0.5</v>
      </c>
      <c r="O296" s="6" t="n">
        <v>1.413E-005</v>
      </c>
      <c r="P296" s="1" t="n">
        <v>0.1144</v>
      </c>
      <c r="Q296" s="1" t="n">
        <v>0.894</v>
      </c>
      <c r="R296" s="1" t="n">
        <v>3.352</v>
      </c>
    </row>
    <row r="297" customFormat="false" ht="12.8" hidden="false" customHeight="false" outlineLevel="0" collapsed="false">
      <c r="A297" s="1" t="n">
        <v>17</v>
      </c>
      <c r="B297" s="4" t="s">
        <v>31</v>
      </c>
      <c r="C297" s="4" t="str">
        <f aca="false">IF(LEFT(E297,2)="S5","Spritz","Standard")</f>
        <v>Standard</v>
      </c>
      <c r="D297" s="4" t="n">
        <f aca="false">IF(RIGHT(E297,2)=".1",1,IF(RIGHT(E297,2)=".2",2,0))</f>
        <v>0</v>
      </c>
      <c r="E297" s="5" t="s">
        <v>32</v>
      </c>
      <c r="F297" s="1" t="s">
        <v>20</v>
      </c>
      <c r="G297" s="1" t="n">
        <v>138.4</v>
      </c>
      <c r="H297" s="1" t="n">
        <v>131.6</v>
      </c>
      <c r="I297" s="1" t="n">
        <v>25.03</v>
      </c>
      <c r="J297" s="1" t="n">
        <v>1.092</v>
      </c>
      <c r="K297" s="1" t="n">
        <v>4.288</v>
      </c>
      <c r="L297" s="1" t="n">
        <v>0.2546</v>
      </c>
      <c r="M297" s="1" t="n">
        <v>-0.1319</v>
      </c>
      <c r="N297" s="1" t="n">
        <v>0.5</v>
      </c>
      <c r="O297" s="6" t="n">
        <v>1.829E-005</v>
      </c>
      <c r="P297" s="1" t="n">
        <v>0.1429</v>
      </c>
      <c r="Q297" s="1" t="n">
        <v>0.9867</v>
      </c>
      <c r="R297" s="1" t="n">
        <v>4.373</v>
      </c>
    </row>
    <row r="298" customFormat="false" ht="12.8" hidden="false" customHeight="false" outlineLevel="0" collapsed="false">
      <c r="A298" s="1" t="n">
        <v>18</v>
      </c>
      <c r="B298" s="4" t="s">
        <v>31</v>
      </c>
      <c r="C298" s="4" t="str">
        <f aca="false">IF(LEFT(E298,2)="S5","Spritz","Standard")</f>
        <v>Standard</v>
      </c>
      <c r="D298" s="4" t="n">
        <f aca="false">IF(RIGHT(E298,2)=".1",1,IF(RIGHT(E298,2)=".2",2,0))</f>
        <v>0</v>
      </c>
      <c r="E298" s="5" t="s">
        <v>32</v>
      </c>
      <c r="F298" s="1" t="s">
        <v>20</v>
      </c>
      <c r="G298" s="1" t="n">
        <v>146.1</v>
      </c>
      <c r="H298" s="1" t="n">
        <v>139.4</v>
      </c>
      <c r="I298" s="1" t="n">
        <v>25.03</v>
      </c>
      <c r="J298" s="1" t="n">
        <v>1.072</v>
      </c>
      <c r="K298" s="1" t="n">
        <v>5.358</v>
      </c>
      <c r="L298" s="1" t="n">
        <v>0.2001</v>
      </c>
      <c r="M298" s="1" t="n">
        <v>-0.1312</v>
      </c>
      <c r="N298" s="1" t="n">
        <v>0.5</v>
      </c>
      <c r="O298" s="6" t="n">
        <v>1.796E-005</v>
      </c>
      <c r="P298" s="1" t="n">
        <v>0.1786</v>
      </c>
      <c r="Q298" s="1" t="n">
        <v>0.969</v>
      </c>
      <c r="R298" s="1" t="n">
        <v>5.648</v>
      </c>
    </row>
    <row r="299" customFormat="false" ht="12.8" hidden="false" customHeight="false" outlineLevel="0" collapsed="false">
      <c r="A299" s="1" t="n">
        <v>19</v>
      </c>
      <c r="B299" s="4" t="s">
        <v>31</v>
      </c>
      <c r="C299" s="4" t="str">
        <f aca="false">IF(LEFT(E299,2)="S5","Spritz","Standard")</f>
        <v>Standard</v>
      </c>
      <c r="D299" s="4" t="n">
        <f aca="false">IF(RIGHT(E299,2)=".1",1,IF(RIGHT(E299,2)=".2",2,0))</f>
        <v>0</v>
      </c>
      <c r="E299" s="5" t="s">
        <v>32</v>
      </c>
      <c r="F299" s="1" t="s">
        <v>20</v>
      </c>
      <c r="G299" s="1" t="n">
        <v>153.9</v>
      </c>
      <c r="H299" s="1" t="n">
        <v>147.1</v>
      </c>
      <c r="I299" s="1" t="n">
        <v>25.03</v>
      </c>
      <c r="J299" s="1" t="n">
        <v>0.9814</v>
      </c>
      <c r="K299" s="1" t="n">
        <v>6.695</v>
      </c>
      <c r="L299" s="1" t="n">
        <v>0.1466</v>
      </c>
      <c r="M299" s="1" t="n">
        <v>-0.1342</v>
      </c>
      <c r="N299" s="1" t="n">
        <v>0.5</v>
      </c>
      <c r="O299" s="6" t="n">
        <v>1.644E-005</v>
      </c>
      <c r="P299" s="1" t="n">
        <v>0.2232</v>
      </c>
      <c r="Q299" s="1" t="n">
        <v>0.8733</v>
      </c>
      <c r="R299" s="1" t="n">
        <v>0.9588</v>
      </c>
    </row>
    <row r="300" customFormat="false" ht="12.8" hidden="false" customHeight="false" outlineLevel="0" collapsed="false">
      <c r="A300" s="1" t="n">
        <v>20</v>
      </c>
      <c r="B300" s="4" t="s">
        <v>31</v>
      </c>
      <c r="C300" s="4" t="str">
        <f aca="false">IF(LEFT(E300,2)="S5","Spritz","Standard")</f>
        <v>Standard</v>
      </c>
      <c r="D300" s="4" t="n">
        <f aca="false">IF(RIGHT(E300,2)=".1",1,IF(RIGHT(E300,2)=".2",2,0))</f>
        <v>0</v>
      </c>
      <c r="E300" s="5" t="s">
        <v>32</v>
      </c>
      <c r="F300" s="1" t="s">
        <v>20</v>
      </c>
      <c r="G300" s="1" t="n">
        <v>161.6</v>
      </c>
      <c r="H300" s="1" t="n">
        <v>154.8</v>
      </c>
      <c r="I300" s="1" t="n">
        <v>25.02</v>
      </c>
      <c r="J300" s="1" t="n">
        <v>0.9666</v>
      </c>
      <c r="K300" s="1" t="n">
        <v>8.367</v>
      </c>
      <c r="L300" s="1" t="n">
        <v>0.1155</v>
      </c>
      <c r="M300" s="1" t="n">
        <v>-0.1339</v>
      </c>
      <c r="N300" s="1" t="n">
        <v>0.5</v>
      </c>
      <c r="O300" s="6" t="n">
        <v>1.619E-005</v>
      </c>
      <c r="P300" s="1" t="n">
        <v>0.2789</v>
      </c>
      <c r="Q300" s="1" t="n">
        <v>1.118</v>
      </c>
      <c r="R300" s="1" t="n">
        <v>2.952</v>
      </c>
    </row>
    <row r="301" customFormat="false" ht="12.8" hidden="false" customHeight="false" outlineLevel="0" collapsed="false">
      <c r="A301" s="1" t="n">
        <v>21</v>
      </c>
      <c r="B301" s="4" t="s">
        <v>31</v>
      </c>
      <c r="C301" s="4" t="str">
        <f aca="false">IF(LEFT(E301,2)="S5","Spritz","Standard")</f>
        <v>Standard</v>
      </c>
      <c r="D301" s="4" t="n">
        <f aca="false">IF(RIGHT(E301,2)=".1",1,IF(RIGHT(E301,2)=".2",2,0))</f>
        <v>0</v>
      </c>
      <c r="E301" s="5" t="s">
        <v>32</v>
      </c>
      <c r="F301" s="1" t="s">
        <v>20</v>
      </c>
      <c r="G301" s="1" t="n">
        <v>169.3</v>
      </c>
      <c r="H301" s="1" t="n">
        <v>162.6</v>
      </c>
      <c r="I301" s="1" t="n">
        <v>25.02</v>
      </c>
      <c r="J301" s="1" t="n">
        <v>0.8992</v>
      </c>
      <c r="K301" s="1" t="n">
        <v>10.46</v>
      </c>
      <c r="L301" s="1" t="n">
        <v>0.08601</v>
      </c>
      <c r="M301" s="1" t="n">
        <v>-0.1351</v>
      </c>
      <c r="N301" s="1" t="n">
        <v>0.5</v>
      </c>
      <c r="O301" s="6" t="n">
        <v>1.506E-005</v>
      </c>
      <c r="P301" s="1" t="n">
        <v>0.3485</v>
      </c>
      <c r="Q301" s="1" t="n">
        <v>1.056</v>
      </c>
      <c r="R301" s="1" t="n">
        <v>5.44</v>
      </c>
    </row>
    <row r="302" customFormat="false" ht="12.8" hidden="false" customHeight="false" outlineLevel="0" collapsed="false">
      <c r="A302" s="1" t="n">
        <v>22</v>
      </c>
      <c r="B302" s="4" t="s">
        <v>31</v>
      </c>
      <c r="C302" s="4" t="str">
        <f aca="false">IF(LEFT(E302,2)="S5","Spritz","Standard")</f>
        <v>Standard</v>
      </c>
      <c r="D302" s="4" t="n">
        <f aca="false">IF(RIGHT(E302,2)=".1",1,IF(RIGHT(E302,2)=".2",2,0))</f>
        <v>0</v>
      </c>
      <c r="E302" s="5" t="s">
        <v>32</v>
      </c>
      <c r="F302" s="1" t="s">
        <v>20</v>
      </c>
      <c r="G302" s="1" t="n">
        <v>177.1</v>
      </c>
      <c r="H302" s="1" t="n">
        <v>170.3</v>
      </c>
      <c r="I302" s="1" t="n">
        <v>25.02</v>
      </c>
      <c r="J302" s="1" t="n">
        <v>1.072</v>
      </c>
      <c r="K302" s="1" t="n">
        <v>13.07</v>
      </c>
      <c r="L302" s="1" t="n">
        <v>0.08201</v>
      </c>
      <c r="M302" s="1" t="n">
        <v>-0.1352</v>
      </c>
      <c r="N302" s="1" t="n">
        <v>0.5</v>
      </c>
      <c r="O302" s="6" t="n">
        <v>1.795E-005</v>
      </c>
      <c r="P302" s="1" t="n">
        <v>0.4356</v>
      </c>
      <c r="Q302" s="1" t="n">
        <v>1.017</v>
      </c>
      <c r="R302" s="1" t="n">
        <v>2.269</v>
      </c>
    </row>
    <row r="303" customFormat="false" ht="12.8" hidden="false" customHeight="false" outlineLevel="0" collapsed="false">
      <c r="A303" s="1" t="n">
        <v>23</v>
      </c>
      <c r="B303" s="4" t="s">
        <v>31</v>
      </c>
      <c r="C303" s="4" t="str">
        <f aca="false">IF(LEFT(E303,2)="S5","Spritz","Standard")</f>
        <v>Standard</v>
      </c>
      <c r="D303" s="4" t="n">
        <f aca="false">IF(RIGHT(E303,2)=".1",1,IF(RIGHT(E303,2)=".2",2,0))</f>
        <v>0</v>
      </c>
      <c r="E303" s="5" t="s">
        <v>32</v>
      </c>
      <c r="F303" s="1" t="s">
        <v>20</v>
      </c>
      <c r="G303" s="1" t="n">
        <v>184.8</v>
      </c>
      <c r="H303" s="1" t="n">
        <v>178.1</v>
      </c>
      <c r="I303" s="1" t="n">
        <v>25.02</v>
      </c>
      <c r="J303" s="1" t="n">
        <v>1.459</v>
      </c>
      <c r="K303" s="1" t="n">
        <v>16.33</v>
      </c>
      <c r="L303" s="1" t="n">
        <v>0.08937</v>
      </c>
      <c r="M303" s="1" t="n">
        <v>-0.1334</v>
      </c>
      <c r="N303" s="1" t="n">
        <v>0.5</v>
      </c>
      <c r="O303" s="6" t="n">
        <v>2.444E-005</v>
      </c>
      <c r="P303" s="1" t="n">
        <v>0.5443</v>
      </c>
      <c r="Q303" s="1" t="n">
        <v>1.121</v>
      </c>
      <c r="R303" s="1" t="n">
        <v>6.155</v>
      </c>
    </row>
    <row r="304" customFormat="false" ht="12.8" hidden="false" customHeight="false" outlineLevel="0" collapsed="false">
      <c r="A304" s="1" t="n">
        <v>24</v>
      </c>
      <c r="B304" s="4" t="s">
        <v>31</v>
      </c>
      <c r="C304" s="4" t="str">
        <f aca="false">IF(LEFT(E304,2)="S5","Spritz","Standard")</f>
        <v>Standard</v>
      </c>
      <c r="D304" s="4" t="n">
        <f aca="false">IF(RIGHT(E304,2)=".1",1,IF(RIGHT(E304,2)=".2",2,0))</f>
        <v>0</v>
      </c>
      <c r="E304" s="5" t="s">
        <v>32</v>
      </c>
      <c r="F304" s="1" t="s">
        <v>20</v>
      </c>
      <c r="G304" s="1" t="n">
        <v>192.6</v>
      </c>
      <c r="H304" s="1" t="n">
        <v>185.8</v>
      </c>
      <c r="I304" s="1" t="n">
        <v>25.02</v>
      </c>
      <c r="J304" s="1" t="n">
        <v>1.575</v>
      </c>
      <c r="K304" s="1" t="n">
        <v>20.4</v>
      </c>
      <c r="L304" s="1" t="n">
        <v>0.0772</v>
      </c>
      <c r="M304" s="1" t="n">
        <v>-0.1345</v>
      </c>
      <c r="N304" s="1" t="n">
        <v>0.5</v>
      </c>
      <c r="O304" s="6" t="n">
        <v>2.638E-005</v>
      </c>
      <c r="P304" s="1" t="n">
        <v>0.6801</v>
      </c>
      <c r="Q304" s="1" t="n">
        <v>1.057</v>
      </c>
      <c r="R304" s="1" t="n">
        <v>4.728</v>
      </c>
    </row>
    <row r="305" customFormat="false" ht="12.8" hidden="false" customHeight="false" outlineLevel="0" collapsed="false">
      <c r="A305" s="1" t="n">
        <v>25</v>
      </c>
      <c r="B305" s="4" t="s">
        <v>31</v>
      </c>
      <c r="C305" s="4" t="str">
        <f aca="false">IF(LEFT(E305,2)="S5","Spritz","Standard")</f>
        <v>Standard</v>
      </c>
      <c r="D305" s="4" t="n">
        <f aca="false">IF(RIGHT(E305,2)=".1",1,IF(RIGHT(E305,2)=".2",2,0))</f>
        <v>0</v>
      </c>
      <c r="E305" s="5" t="s">
        <v>32</v>
      </c>
      <c r="F305" s="1" t="s">
        <v>20</v>
      </c>
      <c r="G305" s="1" t="n">
        <v>200.3</v>
      </c>
      <c r="H305" s="1" t="n">
        <v>193.6</v>
      </c>
      <c r="I305" s="1" t="n">
        <v>25.02</v>
      </c>
      <c r="J305" s="1" t="n">
        <v>1.159</v>
      </c>
      <c r="K305" s="1" t="n">
        <v>25.5</v>
      </c>
      <c r="L305" s="1" t="n">
        <v>0.04547</v>
      </c>
      <c r="M305" s="1" t="n">
        <v>-0.1359</v>
      </c>
      <c r="N305" s="1" t="n">
        <v>0.5</v>
      </c>
      <c r="O305" s="6" t="n">
        <v>1.942E-005</v>
      </c>
      <c r="P305" s="1" t="n">
        <v>0.8499</v>
      </c>
      <c r="Q305" s="1" t="n">
        <v>1.157</v>
      </c>
      <c r="R305" s="1" t="n">
        <v>4.517</v>
      </c>
    </row>
    <row r="306" customFormat="false" ht="12.8" hidden="false" customHeight="false" outlineLevel="0" collapsed="false">
      <c r="A306" s="1" t="n">
        <v>26</v>
      </c>
      <c r="B306" s="4" t="s">
        <v>31</v>
      </c>
      <c r="C306" s="4" t="str">
        <f aca="false">IF(LEFT(E306,2)="S5","Spritz","Standard")</f>
        <v>Standard</v>
      </c>
      <c r="D306" s="4" t="n">
        <f aca="false">IF(RIGHT(E306,2)=".1",1,IF(RIGHT(E306,2)=".2",2,0))</f>
        <v>0</v>
      </c>
      <c r="E306" s="5" t="s">
        <v>32</v>
      </c>
      <c r="F306" s="1" t="s">
        <v>20</v>
      </c>
      <c r="G306" s="1" t="n">
        <v>208.1</v>
      </c>
      <c r="H306" s="1" t="n">
        <v>201.3</v>
      </c>
      <c r="I306" s="1" t="n">
        <v>25.02</v>
      </c>
      <c r="J306" s="1" t="n">
        <v>1.156</v>
      </c>
      <c r="K306" s="1" t="n">
        <v>31.86</v>
      </c>
      <c r="L306" s="1" t="n">
        <v>0.03628</v>
      </c>
      <c r="M306" s="1" t="n">
        <v>-0.1368</v>
      </c>
      <c r="N306" s="1" t="n">
        <v>0.5</v>
      </c>
      <c r="O306" s="6" t="n">
        <v>1.937E-005</v>
      </c>
      <c r="P306" s="1" t="n">
        <v>1.062</v>
      </c>
      <c r="Q306" s="1" t="n">
        <v>0.9364</v>
      </c>
      <c r="R306" s="1" t="n">
        <v>5.817</v>
      </c>
    </row>
    <row r="307" customFormat="false" ht="12.8" hidden="false" customHeight="false" outlineLevel="0" collapsed="false">
      <c r="A307" s="1" t="n">
        <v>27</v>
      </c>
      <c r="B307" s="4" t="s">
        <v>31</v>
      </c>
      <c r="C307" s="4" t="str">
        <f aca="false">IF(LEFT(E307,2)="S5","Spritz","Standard")</f>
        <v>Standard</v>
      </c>
      <c r="D307" s="4" t="n">
        <f aca="false">IF(RIGHT(E307,2)=".1",1,IF(RIGHT(E307,2)=".2",2,0))</f>
        <v>0</v>
      </c>
      <c r="E307" s="5" t="s">
        <v>32</v>
      </c>
      <c r="F307" s="1" t="s">
        <v>20</v>
      </c>
      <c r="G307" s="1" t="n">
        <v>215.8</v>
      </c>
      <c r="H307" s="1" t="n">
        <v>209</v>
      </c>
      <c r="I307" s="1" t="n">
        <v>25.02</v>
      </c>
      <c r="J307" s="1" t="n">
        <v>1.334</v>
      </c>
      <c r="K307" s="1" t="n">
        <v>39.81</v>
      </c>
      <c r="L307" s="1" t="n">
        <v>0.0335</v>
      </c>
      <c r="M307" s="1" t="n">
        <v>-0.1379</v>
      </c>
      <c r="N307" s="1" t="n">
        <v>0.5</v>
      </c>
      <c r="O307" s="6" t="n">
        <v>2.234E-005</v>
      </c>
      <c r="P307" s="1" t="n">
        <v>1.327</v>
      </c>
      <c r="Q307" s="1" t="n">
        <v>1.238</v>
      </c>
      <c r="R307" s="1" t="n">
        <v>2.727</v>
      </c>
    </row>
    <row r="308" customFormat="false" ht="12.8" hidden="false" customHeight="false" outlineLevel="0" collapsed="false">
      <c r="A308" s="1" t="n">
        <v>28</v>
      </c>
      <c r="B308" s="4" t="s">
        <v>31</v>
      </c>
      <c r="C308" s="4" t="str">
        <f aca="false">IF(LEFT(E308,2)="S5","Spritz","Standard")</f>
        <v>Standard</v>
      </c>
      <c r="D308" s="4" t="n">
        <f aca="false">IF(RIGHT(E308,2)=".1",1,IF(RIGHT(E308,2)=".2",2,0))</f>
        <v>0</v>
      </c>
      <c r="E308" s="5" t="s">
        <v>32</v>
      </c>
      <c r="F308" s="1" t="s">
        <v>20</v>
      </c>
      <c r="G308" s="1" t="n">
        <v>223.5</v>
      </c>
      <c r="H308" s="1" t="n">
        <v>216.8</v>
      </c>
      <c r="I308" s="1" t="n">
        <v>25.01</v>
      </c>
      <c r="J308" s="1" t="n">
        <v>1.858</v>
      </c>
      <c r="K308" s="1" t="n">
        <v>49.75</v>
      </c>
      <c r="L308" s="1" t="n">
        <v>0.03734</v>
      </c>
      <c r="M308" s="1" t="n">
        <v>-0.1341</v>
      </c>
      <c r="N308" s="1" t="n">
        <v>0.5</v>
      </c>
      <c r="O308" s="6" t="n">
        <v>3.112E-005</v>
      </c>
      <c r="P308" s="1" t="n">
        <v>1.658</v>
      </c>
      <c r="Q308" s="1" t="n">
        <v>1.077</v>
      </c>
      <c r="R308" s="1" t="n">
        <v>2.01</v>
      </c>
    </row>
    <row r="309" customFormat="false" ht="12.8" hidden="false" customHeight="false" outlineLevel="0" collapsed="false">
      <c r="A309" s="1" t="n">
        <v>29</v>
      </c>
      <c r="B309" s="4" t="s">
        <v>31</v>
      </c>
      <c r="C309" s="4" t="str">
        <f aca="false">IF(LEFT(E309,2)="S5","Spritz","Standard")</f>
        <v>Standard</v>
      </c>
      <c r="D309" s="4" t="n">
        <f aca="false">IF(RIGHT(E309,2)=".1",1,IF(RIGHT(E309,2)=".2",2,0))</f>
        <v>0</v>
      </c>
      <c r="E309" s="5" t="s">
        <v>32</v>
      </c>
      <c r="F309" s="1" t="s">
        <v>20</v>
      </c>
      <c r="G309" s="1" t="n">
        <v>231.3</v>
      </c>
      <c r="H309" s="1" t="n">
        <v>224.5</v>
      </c>
      <c r="I309" s="1" t="n">
        <v>25.01</v>
      </c>
      <c r="J309" s="1" t="n">
        <v>1.779</v>
      </c>
      <c r="K309" s="1" t="n">
        <v>62.17</v>
      </c>
      <c r="L309" s="1" t="n">
        <v>0.02861</v>
      </c>
      <c r="M309" s="1" t="n">
        <v>-0.1348</v>
      </c>
      <c r="N309" s="1" t="n">
        <v>0.5</v>
      </c>
      <c r="O309" s="6" t="n">
        <v>2.98E-005</v>
      </c>
      <c r="P309" s="1" t="n">
        <v>2.072</v>
      </c>
      <c r="Q309" s="1" t="n">
        <v>0.9177</v>
      </c>
      <c r="R309" s="1" t="n">
        <v>4.241</v>
      </c>
    </row>
    <row r="310" customFormat="false" ht="12.8" hidden="false" customHeight="false" outlineLevel="0" collapsed="false">
      <c r="A310" s="1" t="n">
        <v>30</v>
      </c>
      <c r="B310" s="4" t="s">
        <v>31</v>
      </c>
      <c r="C310" s="4" t="str">
        <f aca="false">IF(LEFT(E310,2)="S5","Spritz","Standard")</f>
        <v>Standard</v>
      </c>
      <c r="D310" s="4" t="n">
        <f aca="false">IF(RIGHT(E310,2)=".1",1,IF(RIGHT(E310,2)=".2",2,0))</f>
        <v>0</v>
      </c>
      <c r="E310" s="5" t="s">
        <v>32</v>
      </c>
      <c r="F310" s="1" t="s">
        <v>20</v>
      </c>
      <c r="G310" s="1" t="n">
        <v>239</v>
      </c>
      <c r="H310" s="1" t="n">
        <v>232.3</v>
      </c>
      <c r="I310" s="1" t="n">
        <v>25.01</v>
      </c>
      <c r="J310" s="1" t="n">
        <v>1.865</v>
      </c>
      <c r="K310" s="1" t="n">
        <v>77.69</v>
      </c>
      <c r="L310" s="1" t="n">
        <v>0.02401</v>
      </c>
      <c r="M310" s="1" t="n">
        <v>-0.1365</v>
      </c>
      <c r="N310" s="1" t="n">
        <v>0.5</v>
      </c>
      <c r="O310" s="6" t="n">
        <v>3.125E-005</v>
      </c>
      <c r="P310" s="1" t="n">
        <v>2.59</v>
      </c>
      <c r="Q310" s="1" t="n">
        <v>1.253</v>
      </c>
      <c r="R310" s="1" t="n">
        <v>3.896</v>
      </c>
    </row>
    <row r="311" customFormat="false" ht="12.8" hidden="false" customHeight="false" outlineLevel="0" collapsed="false">
      <c r="A311" s="1" t="n">
        <v>31</v>
      </c>
      <c r="B311" s="4" t="s">
        <v>31</v>
      </c>
      <c r="C311" s="4" t="str">
        <f aca="false">IF(LEFT(E311,2)="S5","Spritz","Standard")</f>
        <v>Standard</v>
      </c>
      <c r="D311" s="4" t="n">
        <f aca="false">IF(RIGHT(E311,2)=".1",1,IF(RIGHT(E311,2)=".2",2,0))</f>
        <v>0</v>
      </c>
      <c r="E311" s="5" t="s">
        <v>32</v>
      </c>
      <c r="F311" s="1" t="s">
        <v>20</v>
      </c>
      <c r="G311" s="1" t="n">
        <v>246.8</v>
      </c>
      <c r="H311" s="1" t="n">
        <v>240</v>
      </c>
      <c r="I311" s="1" t="n">
        <v>25.01</v>
      </c>
      <c r="J311" s="1" t="n">
        <v>2.014</v>
      </c>
      <c r="K311" s="1" t="n">
        <v>97.08</v>
      </c>
      <c r="L311" s="1" t="n">
        <v>0.02074</v>
      </c>
      <c r="M311" s="1" t="n">
        <v>-0.1379</v>
      </c>
      <c r="N311" s="1" t="n">
        <v>0.5</v>
      </c>
      <c r="O311" s="6" t="n">
        <v>3.373E-005</v>
      </c>
      <c r="P311" s="1" t="n">
        <v>3.236</v>
      </c>
      <c r="Q311" s="1" t="n">
        <v>1.056</v>
      </c>
      <c r="R311" s="1" t="n">
        <v>1.871</v>
      </c>
    </row>
    <row r="312" customFormat="false" ht="12.8" hidden="false" customHeight="false" outlineLevel="0" collapsed="false">
      <c r="A312" s="1" t="n">
        <v>1</v>
      </c>
      <c r="B312" s="4" t="s">
        <v>31</v>
      </c>
      <c r="C312" s="4" t="str">
        <f aca="false">IF(LEFT(E312,2)="S5","Spritz","Standard")</f>
        <v>Standard</v>
      </c>
      <c r="D312" s="4" t="n">
        <v>1</v>
      </c>
      <c r="E312" s="5" t="s">
        <v>33</v>
      </c>
      <c r="F312" s="1" t="s">
        <v>20</v>
      </c>
      <c r="G312" s="1" t="n">
        <v>14.63</v>
      </c>
      <c r="H312" s="1" t="n">
        <v>7.74</v>
      </c>
      <c r="I312" s="1" t="n">
        <v>25.05</v>
      </c>
      <c r="J312" s="1" t="n">
        <v>2.243</v>
      </c>
      <c r="K312" s="1" t="n">
        <v>0.1213</v>
      </c>
      <c r="L312" s="1" t="n">
        <v>18.5</v>
      </c>
      <c r="M312" s="1" t="n">
        <v>-0.1476</v>
      </c>
      <c r="N312" s="1" t="n">
        <v>0.5</v>
      </c>
      <c r="O312" s="6" t="n">
        <v>3.758E-005</v>
      </c>
      <c r="P312" s="6" t="n">
        <v>0.004042</v>
      </c>
      <c r="Q312" s="1" t="n">
        <v>1.012</v>
      </c>
      <c r="R312" s="1" t="n">
        <v>2.101</v>
      </c>
    </row>
    <row r="313" customFormat="false" ht="12.8" hidden="false" customHeight="false" outlineLevel="0" collapsed="false">
      <c r="A313" s="1" t="n">
        <v>2</v>
      </c>
      <c r="B313" s="4" t="s">
        <v>31</v>
      </c>
      <c r="C313" s="4" t="str">
        <f aca="false">IF(LEFT(E313,2)="S5","Spritz","Standard")</f>
        <v>Standard</v>
      </c>
      <c r="D313" s="4" t="n">
        <v>1</v>
      </c>
      <c r="E313" s="5" t="s">
        <v>33</v>
      </c>
      <c r="F313" s="1" t="s">
        <v>20</v>
      </c>
      <c r="G313" s="1" t="n">
        <v>22.38</v>
      </c>
      <c r="H313" s="1" t="n">
        <v>15.49</v>
      </c>
      <c r="I313" s="1" t="n">
        <v>25.06</v>
      </c>
      <c r="J313" s="1" t="n">
        <v>1.994</v>
      </c>
      <c r="K313" s="1" t="n">
        <v>0.1515</v>
      </c>
      <c r="L313" s="1" t="n">
        <v>13.16</v>
      </c>
      <c r="M313" s="1" t="n">
        <v>-0.1516</v>
      </c>
      <c r="N313" s="1" t="n">
        <v>0.5</v>
      </c>
      <c r="O313" s="6" t="n">
        <v>3.34E-005</v>
      </c>
      <c r="P313" s="6" t="n">
        <v>0.005051</v>
      </c>
      <c r="Q313" s="1" t="n">
        <v>1.037</v>
      </c>
      <c r="R313" s="1" t="n">
        <v>2.137</v>
      </c>
    </row>
    <row r="314" customFormat="false" ht="12.8" hidden="false" customHeight="false" outlineLevel="0" collapsed="false">
      <c r="A314" s="1" t="n">
        <v>3</v>
      </c>
      <c r="B314" s="4" t="s">
        <v>31</v>
      </c>
      <c r="C314" s="4" t="str">
        <f aca="false">IF(LEFT(E314,2)="S5","Spritz","Standard")</f>
        <v>Standard</v>
      </c>
      <c r="D314" s="4" t="n">
        <v>1</v>
      </c>
      <c r="E314" s="5" t="s">
        <v>33</v>
      </c>
      <c r="F314" s="1" t="s">
        <v>20</v>
      </c>
      <c r="G314" s="1" t="n">
        <v>30.12</v>
      </c>
      <c r="H314" s="1" t="n">
        <v>23.23</v>
      </c>
      <c r="I314" s="1" t="n">
        <v>25.07</v>
      </c>
      <c r="J314" s="1" t="n">
        <v>1.757</v>
      </c>
      <c r="K314" s="1" t="n">
        <v>0.1894</v>
      </c>
      <c r="L314" s="1" t="n">
        <v>9.276</v>
      </c>
      <c r="M314" s="1" t="n">
        <v>-0.1544</v>
      </c>
      <c r="N314" s="1" t="n">
        <v>0.5</v>
      </c>
      <c r="O314" s="6" t="n">
        <v>2.943E-005</v>
      </c>
      <c r="P314" s="6" t="n">
        <v>0.006312</v>
      </c>
      <c r="Q314" s="1" t="n">
        <v>1.03</v>
      </c>
      <c r="R314" s="1" t="n">
        <v>2.182</v>
      </c>
    </row>
    <row r="315" customFormat="false" ht="12.8" hidden="false" customHeight="false" outlineLevel="0" collapsed="false">
      <c r="A315" s="1" t="n">
        <v>4</v>
      </c>
      <c r="B315" s="4" t="s">
        <v>31</v>
      </c>
      <c r="C315" s="4" t="str">
        <f aca="false">IF(LEFT(E315,2)="S5","Spritz","Standard")</f>
        <v>Standard</v>
      </c>
      <c r="D315" s="4" t="n">
        <v>1</v>
      </c>
      <c r="E315" s="5" t="s">
        <v>33</v>
      </c>
      <c r="F315" s="1" t="s">
        <v>20</v>
      </c>
      <c r="G315" s="1" t="n">
        <v>37.86</v>
      </c>
      <c r="H315" s="1" t="n">
        <v>30.97</v>
      </c>
      <c r="I315" s="1" t="n">
        <v>25.07</v>
      </c>
      <c r="J315" s="1" t="n">
        <v>1.376</v>
      </c>
      <c r="K315" s="1" t="n">
        <v>0.2366</v>
      </c>
      <c r="L315" s="1" t="n">
        <v>5.814</v>
      </c>
      <c r="M315" s="1" t="n">
        <v>-0.1564</v>
      </c>
      <c r="N315" s="1" t="n">
        <v>0.5</v>
      </c>
      <c r="O315" s="6" t="n">
        <v>2.305E-005</v>
      </c>
      <c r="P315" s="6" t="n">
        <v>0.007889</v>
      </c>
      <c r="Q315" s="1" t="n">
        <v>1.135</v>
      </c>
      <c r="R315" s="1" t="n">
        <v>2.239</v>
      </c>
    </row>
    <row r="316" customFormat="false" ht="12.8" hidden="false" customHeight="false" outlineLevel="0" collapsed="false">
      <c r="A316" s="1" t="n">
        <v>5</v>
      </c>
      <c r="B316" s="4" t="s">
        <v>31</v>
      </c>
      <c r="C316" s="4" t="str">
        <f aca="false">IF(LEFT(E316,2)="S5","Spritz","Standard")</f>
        <v>Standard</v>
      </c>
      <c r="D316" s="4" t="n">
        <v>1</v>
      </c>
      <c r="E316" s="5" t="s">
        <v>33</v>
      </c>
      <c r="F316" s="1" t="s">
        <v>20</v>
      </c>
      <c r="G316" s="1" t="n">
        <v>45.6</v>
      </c>
      <c r="H316" s="1" t="n">
        <v>38.71</v>
      </c>
      <c r="I316" s="1" t="n">
        <v>25.07</v>
      </c>
      <c r="J316" s="1" t="n">
        <v>1.126</v>
      </c>
      <c r="K316" s="1" t="n">
        <v>0.2957</v>
      </c>
      <c r="L316" s="1" t="n">
        <v>3.808</v>
      </c>
      <c r="M316" s="1" t="n">
        <v>-0.1601</v>
      </c>
      <c r="N316" s="1" t="n">
        <v>0.5</v>
      </c>
      <c r="O316" s="6" t="n">
        <v>1.887E-005</v>
      </c>
      <c r="P316" s="6" t="n">
        <v>0.009857</v>
      </c>
      <c r="Q316" s="1" t="n">
        <v>0.9693</v>
      </c>
      <c r="R316" s="1" t="n">
        <v>2.309</v>
      </c>
    </row>
    <row r="317" customFormat="false" ht="12.8" hidden="false" customHeight="false" outlineLevel="0" collapsed="false">
      <c r="A317" s="1" t="n">
        <v>6</v>
      </c>
      <c r="B317" s="4" t="s">
        <v>31</v>
      </c>
      <c r="C317" s="4" t="str">
        <f aca="false">IF(LEFT(E317,2)="S5","Spritz","Standard")</f>
        <v>Standard</v>
      </c>
      <c r="D317" s="4" t="n">
        <v>1</v>
      </c>
      <c r="E317" s="5" t="s">
        <v>33</v>
      </c>
      <c r="F317" s="1" t="s">
        <v>20</v>
      </c>
      <c r="G317" s="1" t="n">
        <v>53.34</v>
      </c>
      <c r="H317" s="1" t="n">
        <v>46.45</v>
      </c>
      <c r="I317" s="1" t="n">
        <v>25.08</v>
      </c>
      <c r="J317" s="1" t="n">
        <v>1.144</v>
      </c>
      <c r="K317" s="1" t="n">
        <v>0.3695</v>
      </c>
      <c r="L317" s="1" t="n">
        <v>3.097</v>
      </c>
      <c r="M317" s="1" t="n">
        <v>-0.1603</v>
      </c>
      <c r="N317" s="1" t="n">
        <v>0.5</v>
      </c>
      <c r="O317" s="6" t="n">
        <v>1.917E-005</v>
      </c>
      <c r="P317" s="1" t="n">
        <v>0.01232</v>
      </c>
      <c r="Q317" s="1" t="n">
        <v>1.016</v>
      </c>
      <c r="R317" s="1" t="n">
        <v>2.397</v>
      </c>
    </row>
    <row r="318" customFormat="false" ht="12.8" hidden="false" customHeight="false" outlineLevel="0" collapsed="false">
      <c r="A318" s="1" t="n">
        <v>7</v>
      </c>
      <c r="B318" s="4" t="s">
        <v>31</v>
      </c>
      <c r="C318" s="4" t="str">
        <f aca="false">IF(LEFT(E318,2)="S5","Spritz","Standard")</f>
        <v>Standard</v>
      </c>
      <c r="D318" s="4" t="n">
        <v>1</v>
      </c>
      <c r="E318" s="5" t="s">
        <v>33</v>
      </c>
      <c r="F318" s="1" t="s">
        <v>20</v>
      </c>
      <c r="G318" s="1" t="n">
        <v>61.09</v>
      </c>
      <c r="H318" s="1" t="n">
        <v>54.2</v>
      </c>
      <c r="I318" s="1" t="n">
        <v>25.08</v>
      </c>
      <c r="J318" s="1" t="n">
        <v>1.166</v>
      </c>
      <c r="K318" s="1" t="n">
        <v>0.4618</v>
      </c>
      <c r="L318" s="1" t="n">
        <v>2.525</v>
      </c>
      <c r="M318" s="1" t="n">
        <v>-0.1602</v>
      </c>
      <c r="N318" s="1" t="n">
        <v>0.5</v>
      </c>
      <c r="O318" s="6" t="n">
        <v>1.953E-005</v>
      </c>
      <c r="P318" s="1" t="n">
        <v>0.01539</v>
      </c>
      <c r="Q318" s="1" t="n">
        <v>1.007</v>
      </c>
      <c r="R318" s="1" t="n">
        <v>2.507</v>
      </c>
    </row>
    <row r="319" customFormat="false" ht="12.8" hidden="false" customHeight="false" outlineLevel="0" collapsed="false">
      <c r="A319" s="1" t="n">
        <v>8</v>
      </c>
      <c r="B319" s="4" t="s">
        <v>31</v>
      </c>
      <c r="C319" s="4" t="str">
        <f aca="false">IF(LEFT(E319,2)="S5","Spritz","Standard")</f>
        <v>Standard</v>
      </c>
      <c r="D319" s="4" t="n">
        <v>1</v>
      </c>
      <c r="E319" s="5" t="s">
        <v>33</v>
      </c>
      <c r="F319" s="1" t="s">
        <v>20</v>
      </c>
      <c r="G319" s="1" t="n">
        <v>68.83</v>
      </c>
      <c r="H319" s="1" t="n">
        <v>61.94</v>
      </c>
      <c r="I319" s="1" t="n">
        <v>25.08</v>
      </c>
      <c r="J319" s="1" t="n">
        <v>1.273</v>
      </c>
      <c r="K319" s="1" t="n">
        <v>0.577</v>
      </c>
      <c r="L319" s="1" t="n">
        <v>2.206</v>
      </c>
      <c r="M319" s="1" t="n">
        <v>-0.1578</v>
      </c>
      <c r="N319" s="1" t="n">
        <v>0.5</v>
      </c>
      <c r="O319" s="6" t="n">
        <v>2.133E-005</v>
      </c>
      <c r="P319" s="1" t="n">
        <v>0.01924</v>
      </c>
      <c r="Q319" s="1" t="n">
        <v>1.097</v>
      </c>
      <c r="R319" s="1" t="n">
        <v>2.644</v>
      </c>
    </row>
    <row r="320" customFormat="false" ht="12.8" hidden="false" customHeight="false" outlineLevel="0" collapsed="false">
      <c r="A320" s="1" t="n">
        <v>9</v>
      </c>
      <c r="B320" s="4" t="s">
        <v>31</v>
      </c>
      <c r="C320" s="4" t="str">
        <f aca="false">IF(LEFT(E320,2)="S5","Spritz","Standard")</f>
        <v>Standard</v>
      </c>
      <c r="D320" s="4" t="n">
        <v>1</v>
      </c>
      <c r="E320" s="5" t="s">
        <v>33</v>
      </c>
      <c r="F320" s="1" t="s">
        <v>20</v>
      </c>
      <c r="G320" s="1" t="n">
        <v>76.57</v>
      </c>
      <c r="H320" s="1" t="n">
        <v>69.68</v>
      </c>
      <c r="I320" s="1" t="n">
        <v>25.08</v>
      </c>
      <c r="J320" s="1" t="n">
        <v>1.005</v>
      </c>
      <c r="K320" s="1" t="n">
        <v>0.721</v>
      </c>
      <c r="L320" s="1" t="n">
        <v>1.393</v>
      </c>
      <c r="M320" s="1" t="n">
        <v>-0.1595</v>
      </c>
      <c r="N320" s="1" t="n">
        <v>0.5</v>
      </c>
      <c r="O320" s="6" t="n">
        <v>1.683E-005</v>
      </c>
      <c r="P320" s="1" t="n">
        <v>0.02403</v>
      </c>
      <c r="Q320" s="1" t="n">
        <v>1.061</v>
      </c>
      <c r="R320" s="1" t="n">
        <v>2.816</v>
      </c>
    </row>
    <row r="321" customFormat="false" ht="12.8" hidden="false" customHeight="false" outlineLevel="0" collapsed="false">
      <c r="A321" s="1" t="n">
        <v>10</v>
      </c>
      <c r="B321" s="4" t="s">
        <v>31</v>
      </c>
      <c r="C321" s="4" t="str">
        <f aca="false">IF(LEFT(E321,2)="S5","Spritz","Standard")</f>
        <v>Standard</v>
      </c>
      <c r="D321" s="4" t="n">
        <v>1</v>
      </c>
      <c r="E321" s="5" t="s">
        <v>33</v>
      </c>
      <c r="F321" s="1" t="s">
        <v>20</v>
      </c>
      <c r="G321" s="1" t="n">
        <v>84.31</v>
      </c>
      <c r="H321" s="1" t="n">
        <v>77.42</v>
      </c>
      <c r="I321" s="1" t="n">
        <v>25.07</v>
      </c>
      <c r="J321" s="1" t="n">
        <v>1.14</v>
      </c>
      <c r="K321" s="1" t="n">
        <v>0.9011</v>
      </c>
      <c r="L321" s="1" t="n">
        <v>1.265</v>
      </c>
      <c r="M321" s="1" t="n">
        <v>-0.1578</v>
      </c>
      <c r="N321" s="1" t="n">
        <v>0.5</v>
      </c>
      <c r="O321" s="6" t="n">
        <v>1.91E-005</v>
      </c>
      <c r="P321" s="1" t="n">
        <v>0.03004</v>
      </c>
      <c r="Q321" s="1" t="n">
        <v>0.9724</v>
      </c>
      <c r="R321" s="1" t="n">
        <v>3.031</v>
      </c>
    </row>
    <row r="322" customFormat="false" ht="12.8" hidden="false" customHeight="false" outlineLevel="0" collapsed="false">
      <c r="A322" s="1" t="n">
        <v>11</v>
      </c>
      <c r="B322" s="4" t="s">
        <v>31</v>
      </c>
      <c r="C322" s="4" t="str">
        <f aca="false">IF(LEFT(E322,2)="S5","Spritz","Standard")</f>
        <v>Standard</v>
      </c>
      <c r="D322" s="4" t="n">
        <v>1</v>
      </c>
      <c r="E322" s="5" t="s">
        <v>33</v>
      </c>
      <c r="F322" s="1" t="s">
        <v>20</v>
      </c>
      <c r="G322" s="1" t="n">
        <v>92.05</v>
      </c>
      <c r="H322" s="1" t="n">
        <v>85.16</v>
      </c>
      <c r="I322" s="1" t="n">
        <v>25.07</v>
      </c>
      <c r="J322" s="1" t="n">
        <v>1.081</v>
      </c>
      <c r="K322" s="1" t="n">
        <v>1.126</v>
      </c>
      <c r="L322" s="1" t="n">
        <v>0.9604</v>
      </c>
      <c r="M322" s="1" t="n">
        <v>-0.1592</v>
      </c>
      <c r="N322" s="1" t="n">
        <v>0.5</v>
      </c>
      <c r="O322" s="6" t="n">
        <v>1.812E-005</v>
      </c>
      <c r="P322" s="1" t="n">
        <v>0.03753</v>
      </c>
      <c r="Q322" s="1" t="n">
        <v>1.05</v>
      </c>
      <c r="R322" s="1" t="n">
        <v>3.299</v>
      </c>
    </row>
    <row r="323" customFormat="false" ht="12.8" hidden="false" customHeight="false" outlineLevel="0" collapsed="false">
      <c r="A323" s="1" t="n">
        <v>12</v>
      </c>
      <c r="B323" s="4" t="s">
        <v>31</v>
      </c>
      <c r="C323" s="4" t="str">
        <f aca="false">IF(LEFT(E323,2)="S5","Spritz","Standard")</f>
        <v>Standard</v>
      </c>
      <c r="D323" s="4" t="n">
        <v>1</v>
      </c>
      <c r="E323" s="5" t="s">
        <v>33</v>
      </c>
      <c r="F323" s="1" t="s">
        <v>20</v>
      </c>
      <c r="G323" s="1" t="n">
        <v>99.8</v>
      </c>
      <c r="H323" s="1" t="n">
        <v>92.91</v>
      </c>
      <c r="I323" s="1" t="n">
        <v>25.06</v>
      </c>
      <c r="J323" s="1" t="n">
        <v>1.034</v>
      </c>
      <c r="K323" s="1" t="n">
        <v>1.407</v>
      </c>
      <c r="L323" s="1" t="n">
        <v>0.7349</v>
      </c>
      <c r="M323" s="1" t="n">
        <v>-0.1578</v>
      </c>
      <c r="N323" s="1" t="n">
        <v>0.5</v>
      </c>
      <c r="O323" s="6" t="n">
        <v>1.732E-005</v>
      </c>
      <c r="P323" s="1" t="n">
        <v>0.0469</v>
      </c>
      <c r="Q323" s="1" t="n">
        <v>0.8251</v>
      </c>
      <c r="R323" s="1" t="n">
        <v>3.634</v>
      </c>
    </row>
    <row r="324" customFormat="false" ht="12.8" hidden="false" customHeight="false" outlineLevel="0" collapsed="false">
      <c r="A324" s="1" t="n">
        <v>13</v>
      </c>
      <c r="B324" s="4" t="s">
        <v>31</v>
      </c>
      <c r="C324" s="4" t="str">
        <f aca="false">IF(LEFT(E324,2)="S5","Spritz","Standard")</f>
        <v>Standard</v>
      </c>
      <c r="D324" s="4" t="n">
        <v>1</v>
      </c>
      <c r="E324" s="5" t="s">
        <v>33</v>
      </c>
      <c r="F324" s="1" t="s">
        <v>20</v>
      </c>
      <c r="G324" s="1" t="n">
        <v>107.5</v>
      </c>
      <c r="H324" s="1" t="n">
        <v>100.6</v>
      </c>
      <c r="I324" s="1" t="n">
        <v>25.05</v>
      </c>
      <c r="J324" s="1" t="n">
        <v>1.107</v>
      </c>
      <c r="K324" s="1" t="n">
        <v>1.758</v>
      </c>
      <c r="L324" s="1" t="n">
        <v>0.6295</v>
      </c>
      <c r="M324" s="1" t="n">
        <v>-0.1579</v>
      </c>
      <c r="N324" s="1" t="n">
        <v>0.5</v>
      </c>
      <c r="O324" s="6" t="n">
        <v>1.854E-005</v>
      </c>
      <c r="P324" s="1" t="n">
        <v>0.05861</v>
      </c>
      <c r="Q324" s="1" t="n">
        <v>0.8287</v>
      </c>
      <c r="R324" s="1" t="n">
        <v>4.052</v>
      </c>
    </row>
    <row r="325" customFormat="false" ht="12.8" hidden="false" customHeight="false" outlineLevel="0" collapsed="false">
      <c r="A325" s="1" t="n">
        <v>14</v>
      </c>
      <c r="B325" s="4" t="s">
        <v>31</v>
      </c>
      <c r="C325" s="4" t="str">
        <f aca="false">IF(LEFT(E325,2)="S5","Spritz","Standard")</f>
        <v>Standard</v>
      </c>
      <c r="D325" s="4" t="n">
        <v>1</v>
      </c>
      <c r="E325" s="5" t="s">
        <v>33</v>
      </c>
      <c r="F325" s="1" t="s">
        <v>20</v>
      </c>
      <c r="G325" s="1" t="n">
        <v>115.3</v>
      </c>
      <c r="H325" s="1" t="n">
        <v>108.4</v>
      </c>
      <c r="I325" s="1" t="n">
        <v>25.05</v>
      </c>
      <c r="J325" s="1" t="n">
        <v>1.089</v>
      </c>
      <c r="K325" s="1" t="n">
        <v>2.197</v>
      </c>
      <c r="L325" s="1" t="n">
        <v>0.4956</v>
      </c>
      <c r="M325" s="1" t="n">
        <v>-0.1582</v>
      </c>
      <c r="N325" s="1" t="n">
        <v>0.5</v>
      </c>
      <c r="O325" s="6" t="n">
        <v>1.824E-005</v>
      </c>
      <c r="P325" s="1" t="n">
        <v>0.07324</v>
      </c>
      <c r="Q325" s="1" t="n">
        <v>0.9811</v>
      </c>
      <c r="R325" s="1" t="n">
        <v>4.575</v>
      </c>
    </row>
    <row r="326" customFormat="false" ht="12.8" hidden="false" customHeight="false" outlineLevel="0" collapsed="false">
      <c r="A326" s="1" t="n">
        <v>15</v>
      </c>
      <c r="B326" s="4" t="s">
        <v>31</v>
      </c>
      <c r="C326" s="4" t="str">
        <f aca="false">IF(LEFT(E326,2)="S5","Spritz","Standard")</f>
        <v>Standard</v>
      </c>
      <c r="D326" s="4" t="n">
        <v>1</v>
      </c>
      <c r="E326" s="5" t="s">
        <v>33</v>
      </c>
      <c r="F326" s="1" t="s">
        <v>20</v>
      </c>
      <c r="G326" s="1" t="n">
        <v>123</v>
      </c>
      <c r="H326" s="1" t="n">
        <v>116.1</v>
      </c>
      <c r="I326" s="1" t="n">
        <v>25.05</v>
      </c>
      <c r="J326" s="1" t="n">
        <v>1.169</v>
      </c>
      <c r="K326" s="1" t="n">
        <v>2.746</v>
      </c>
      <c r="L326" s="1" t="n">
        <v>0.4257</v>
      </c>
      <c r="M326" s="1" t="n">
        <v>-0.1583</v>
      </c>
      <c r="N326" s="1" t="n">
        <v>0.5</v>
      </c>
      <c r="O326" s="6" t="n">
        <v>1.958E-005</v>
      </c>
      <c r="P326" s="1" t="n">
        <v>0.09153</v>
      </c>
      <c r="Q326" s="1" t="n">
        <v>0.9677</v>
      </c>
      <c r="R326" s="1" t="n">
        <v>5.229</v>
      </c>
    </row>
    <row r="327" customFormat="false" ht="12.8" hidden="false" customHeight="false" outlineLevel="0" collapsed="false">
      <c r="A327" s="1" t="n">
        <v>16</v>
      </c>
      <c r="B327" s="4" t="s">
        <v>31</v>
      </c>
      <c r="C327" s="4" t="str">
        <f aca="false">IF(LEFT(E327,2)="S5","Spritz","Standard")</f>
        <v>Standard</v>
      </c>
      <c r="D327" s="4" t="n">
        <v>1</v>
      </c>
      <c r="E327" s="5" t="s">
        <v>33</v>
      </c>
      <c r="F327" s="1" t="s">
        <v>20</v>
      </c>
      <c r="G327" s="1" t="n">
        <v>130.8</v>
      </c>
      <c r="H327" s="1" t="n">
        <v>123.9</v>
      </c>
      <c r="I327" s="1" t="n">
        <v>25.05</v>
      </c>
      <c r="J327" s="1" t="n">
        <v>1.709</v>
      </c>
      <c r="K327" s="1" t="n">
        <v>3.431</v>
      </c>
      <c r="L327" s="1" t="n">
        <v>0.4982</v>
      </c>
      <c r="M327" s="1" t="n">
        <v>-0.1589</v>
      </c>
      <c r="N327" s="1" t="n">
        <v>0.5</v>
      </c>
      <c r="O327" s="6" t="n">
        <v>2.864E-005</v>
      </c>
      <c r="P327" s="1" t="n">
        <v>0.1144</v>
      </c>
      <c r="Q327" s="1" t="n">
        <v>0.9235</v>
      </c>
      <c r="R327" s="1" t="n">
        <v>6.046</v>
      </c>
    </row>
    <row r="328" customFormat="false" ht="12.8" hidden="false" customHeight="false" outlineLevel="0" collapsed="false">
      <c r="A328" s="1" t="n">
        <v>17</v>
      </c>
      <c r="B328" s="4" t="s">
        <v>31</v>
      </c>
      <c r="C328" s="4" t="str">
        <f aca="false">IF(LEFT(E328,2)="S5","Spritz","Standard")</f>
        <v>Standard</v>
      </c>
      <c r="D328" s="4" t="n">
        <v>1</v>
      </c>
      <c r="E328" s="5" t="s">
        <v>33</v>
      </c>
      <c r="F328" s="1" t="s">
        <v>20</v>
      </c>
      <c r="G328" s="1" t="n">
        <v>138.5</v>
      </c>
      <c r="H328" s="1" t="n">
        <v>131.6</v>
      </c>
      <c r="I328" s="1" t="n">
        <v>25.04</v>
      </c>
      <c r="J328" s="1" t="n">
        <v>1.707</v>
      </c>
      <c r="K328" s="1" t="n">
        <v>4.288</v>
      </c>
      <c r="L328" s="1" t="n">
        <v>0.398</v>
      </c>
      <c r="M328" s="1" t="n">
        <v>-0.1591</v>
      </c>
      <c r="N328" s="1" t="n">
        <v>0.5</v>
      </c>
      <c r="O328" s="6" t="n">
        <v>2.859E-005</v>
      </c>
      <c r="P328" s="1" t="n">
        <v>0.1429</v>
      </c>
      <c r="Q328" s="1" t="n">
        <v>0.9631</v>
      </c>
      <c r="R328" s="1" t="n">
        <v>0.7839</v>
      </c>
    </row>
    <row r="329" customFormat="false" ht="12.8" hidden="false" customHeight="false" outlineLevel="0" collapsed="false">
      <c r="A329" s="1" t="n">
        <v>18</v>
      </c>
      <c r="B329" s="4" t="s">
        <v>31</v>
      </c>
      <c r="C329" s="4" t="str">
        <f aca="false">IF(LEFT(E329,2)="S5","Spritz","Standard")</f>
        <v>Standard</v>
      </c>
      <c r="D329" s="4" t="n">
        <v>1</v>
      </c>
      <c r="E329" s="5" t="s">
        <v>33</v>
      </c>
      <c r="F329" s="1" t="s">
        <v>20</v>
      </c>
      <c r="G329" s="1" t="n">
        <v>146.2</v>
      </c>
      <c r="H329" s="1" t="n">
        <v>139.4</v>
      </c>
      <c r="I329" s="1" t="n">
        <v>25.04</v>
      </c>
      <c r="J329" s="1" t="n">
        <v>1.618</v>
      </c>
      <c r="K329" s="1" t="n">
        <v>5.358</v>
      </c>
      <c r="L329" s="1" t="n">
        <v>0.3019</v>
      </c>
      <c r="M329" s="1" t="n">
        <v>-0.16</v>
      </c>
      <c r="N329" s="1" t="n">
        <v>0.5</v>
      </c>
      <c r="O329" s="6" t="n">
        <v>2.71E-005</v>
      </c>
      <c r="P329" s="1" t="n">
        <v>0.1786</v>
      </c>
      <c r="Q329" s="1" t="n">
        <v>1.2</v>
      </c>
      <c r="R329" s="1" t="n">
        <v>2.059</v>
      </c>
    </row>
    <row r="330" customFormat="false" ht="12.8" hidden="false" customHeight="false" outlineLevel="0" collapsed="false">
      <c r="A330" s="1" t="n">
        <v>19</v>
      </c>
      <c r="B330" s="4" t="s">
        <v>31</v>
      </c>
      <c r="C330" s="4" t="str">
        <f aca="false">IF(LEFT(E330,2)="S5","Spritz","Standard")</f>
        <v>Standard</v>
      </c>
      <c r="D330" s="4" t="n">
        <v>1</v>
      </c>
      <c r="E330" s="5" t="s">
        <v>33</v>
      </c>
      <c r="F330" s="1" t="s">
        <v>20</v>
      </c>
      <c r="G330" s="1" t="n">
        <v>154</v>
      </c>
      <c r="H330" s="1" t="n">
        <v>147.1</v>
      </c>
      <c r="I330" s="1" t="n">
        <v>25.03</v>
      </c>
      <c r="J330" s="1" t="n">
        <v>1.604</v>
      </c>
      <c r="K330" s="1" t="n">
        <v>6.695</v>
      </c>
      <c r="L330" s="1" t="n">
        <v>0.2396</v>
      </c>
      <c r="M330" s="1" t="n">
        <v>-0.1587</v>
      </c>
      <c r="N330" s="1" t="n">
        <v>0.5</v>
      </c>
      <c r="O330" s="6" t="n">
        <v>2.687E-005</v>
      </c>
      <c r="P330" s="1" t="n">
        <v>0.2232</v>
      </c>
      <c r="Q330" s="1" t="n">
        <v>1.143</v>
      </c>
      <c r="R330" s="1" t="n">
        <v>3.653</v>
      </c>
    </row>
    <row r="331" customFormat="false" ht="12.8" hidden="false" customHeight="false" outlineLevel="0" collapsed="false">
      <c r="A331" s="1" t="n">
        <v>20</v>
      </c>
      <c r="B331" s="4" t="s">
        <v>31</v>
      </c>
      <c r="C331" s="4" t="str">
        <f aca="false">IF(LEFT(E331,2)="S5","Spritz","Standard")</f>
        <v>Standard</v>
      </c>
      <c r="D331" s="4" t="n">
        <v>1</v>
      </c>
      <c r="E331" s="5" t="s">
        <v>33</v>
      </c>
      <c r="F331" s="1" t="s">
        <v>20</v>
      </c>
      <c r="G331" s="1" t="n">
        <v>161.7</v>
      </c>
      <c r="H331" s="1" t="n">
        <v>154.8</v>
      </c>
      <c r="I331" s="1" t="n">
        <v>25.03</v>
      </c>
      <c r="J331" s="1" t="n">
        <v>1.259</v>
      </c>
      <c r="K331" s="1" t="n">
        <v>8.367</v>
      </c>
      <c r="L331" s="1" t="n">
        <v>0.1505</v>
      </c>
      <c r="M331" s="1" t="n">
        <v>-0.1583</v>
      </c>
      <c r="N331" s="1" t="n">
        <v>0.5</v>
      </c>
      <c r="O331" s="6" t="n">
        <v>2.11E-005</v>
      </c>
      <c r="P331" s="1" t="n">
        <v>0.2789</v>
      </c>
      <c r="Q331" s="1" t="n">
        <v>1.077</v>
      </c>
      <c r="R331" s="1" t="n">
        <v>5.646</v>
      </c>
    </row>
    <row r="332" customFormat="false" ht="12.8" hidden="false" customHeight="false" outlineLevel="0" collapsed="false">
      <c r="A332" s="1" t="n">
        <v>21</v>
      </c>
      <c r="B332" s="4" t="s">
        <v>31</v>
      </c>
      <c r="C332" s="4" t="str">
        <f aca="false">IF(LEFT(E332,2)="S5","Spritz","Standard")</f>
        <v>Standard</v>
      </c>
      <c r="D332" s="4" t="n">
        <v>1</v>
      </c>
      <c r="E332" s="5" t="s">
        <v>33</v>
      </c>
      <c r="F332" s="1" t="s">
        <v>20</v>
      </c>
      <c r="G332" s="1" t="n">
        <v>169.5</v>
      </c>
      <c r="H332" s="1" t="n">
        <v>162.6</v>
      </c>
      <c r="I332" s="1" t="n">
        <v>25.03</v>
      </c>
      <c r="J332" s="1" t="n">
        <v>1.661</v>
      </c>
      <c r="K332" s="1" t="n">
        <v>10.46</v>
      </c>
      <c r="L332" s="1" t="n">
        <v>0.1588</v>
      </c>
      <c r="M332" s="1" t="n">
        <v>-0.1603</v>
      </c>
      <c r="N332" s="1" t="n">
        <v>0.5</v>
      </c>
      <c r="O332" s="6" t="n">
        <v>2.782E-005</v>
      </c>
      <c r="P332" s="1" t="n">
        <v>0.3485</v>
      </c>
      <c r="Q332" s="1" t="n">
        <v>0.8361</v>
      </c>
      <c r="R332" s="1" t="n">
        <v>1.851</v>
      </c>
    </row>
    <row r="333" customFormat="false" ht="12.8" hidden="false" customHeight="false" outlineLevel="0" collapsed="false">
      <c r="A333" s="1" t="n">
        <v>22</v>
      </c>
      <c r="B333" s="4" t="s">
        <v>31</v>
      </c>
      <c r="C333" s="4" t="str">
        <f aca="false">IF(LEFT(E333,2)="S5","Spritz","Standard")</f>
        <v>Standard</v>
      </c>
      <c r="D333" s="4" t="n">
        <v>1</v>
      </c>
      <c r="E333" s="5" t="s">
        <v>33</v>
      </c>
      <c r="F333" s="1" t="s">
        <v>20</v>
      </c>
      <c r="G333" s="1" t="n">
        <v>177.2</v>
      </c>
      <c r="H333" s="1" t="n">
        <v>170.3</v>
      </c>
      <c r="I333" s="1" t="n">
        <v>25.03</v>
      </c>
      <c r="J333" s="1" t="n">
        <v>2.173</v>
      </c>
      <c r="K333" s="1" t="n">
        <v>13.07</v>
      </c>
      <c r="L333" s="1" t="n">
        <v>0.1663</v>
      </c>
      <c r="M333" s="1" t="n">
        <v>-0.1607</v>
      </c>
      <c r="N333" s="1" t="n">
        <v>0.5</v>
      </c>
      <c r="O333" s="6" t="n">
        <v>3.64E-005</v>
      </c>
      <c r="P333" s="1" t="n">
        <v>0.4356</v>
      </c>
      <c r="Q333" s="1" t="n">
        <v>1.701</v>
      </c>
      <c r="R333" s="1" t="n">
        <v>4.963</v>
      </c>
    </row>
    <row r="334" customFormat="false" ht="12.8" hidden="false" customHeight="false" outlineLevel="0" collapsed="false">
      <c r="A334" s="1" t="n">
        <v>23</v>
      </c>
      <c r="B334" s="4" t="s">
        <v>31</v>
      </c>
      <c r="C334" s="4" t="str">
        <f aca="false">IF(LEFT(E334,2)="S5","Spritz","Standard")</f>
        <v>Standard</v>
      </c>
      <c r="D334" s="4" t="n">
        <v>1</v>
      </c>
      <c r="E334" s="5" t="s">
        <v>33</v>
      </c>
      <c r="F334" s="1" t="s">
        <v>20</v>
      </c>
      <c r="G334" s="1" t="n">
        <v>185</v>
      </c>
      <c r="H334" s="1" t="n">
        <v>178.1</v>
      </c>
      <c r="I334" s="1" t="n">
        <v>25.02</v>
      </c>
      <c r="J334" s="1" t="n">
        <v>1.582</v>
      </c>
      <c r="K334" s="1" t="n">
        <v>16.33</v>
      </c>
      <c r="L334" s="1" t="n">
        <v>0.0969</v>
      </c>
      <c r="M334" s="1" t="n">
        <v>-0.1627</v>
      </c>
      <c r="N334" s="1" t="n">
        <v>0.5</v>
      </c>
      <c r="O334" s="6" t="n">
        <v>2.651E-005</v>
      </c>
      <c r="P334" s="1" t="n">
        <v>0.5443</v>
      </c>
      <c r="Q334" s="1" t="n">
        <v>1.213</v>
      </c>
      <c r="R334" s="1" t="n">
        <v>2.566</v>
      </c>
    </row>
    <row r="335" customFormat="false" ht="12.8" hidden="false" customHeight="false" outlineLevel="0" collapsed="false">
      <c r="A335" s="1" t="n">
        <v>24</v>
      </c>
      <c r="B335" s="4" t="s">
        <v>31</v>
      </c>
      <c r="C335" s="4" t="str">
        <f aca="false">IF(LEFT(E335,2)="S5","Spritz","Standard")</f>
        <v>Standard</v>
      </c>
      <c r="D335" s="4" t="n">
        <v>1</v>
      </c>
      <c r="E335" s="5" t="s">
        <v>33</v>
      </c>
      <c r="F335" s="1" t="s">
        <v>20</v>
      </c>
      <c r="G335" s="1" t="n">
        <v>192.7</v>
      </c>
      <c r="H335" s="1" t="n">
        <v>185.8</v>
      </c>
      <c r="I335" s="1" t="n">
        <v>25.02</v>
      </c>
      <c r="J335" s="1" t="n">
        <v>1.408</v>
      </c>
      <c r="K335" s="1" t="n">
        <v>20.4</v>
      </c>
      <c r="L335" s="1" t="n">
        <v>0.06903</v>
      </c>
      <c r="M335" s="1" t="n">
        <v>-0.1623</v>
      </c>
      <c r="N335" s="1" t="n">
        <v>0.5</v>
      </c>
      <c r="O335" s="6" t="n">
        <v>2.359E-005</v>
      </c>
      <c r="P335" s="1" t="n">
        <v>0.6801</v>
      </c>
      <c r="Q335" s="1" t="n">
        <v>1.074</v>
      </c>
      <c r="R335" s="1" t="n">
        <v>1.139</v>
      </c>
    </row>
    <row r="336" customFormat="false" ht="12.8" hidden="false" customHeight="false" outlineLevel="0" collapsed="false">
      <c r="A336" s="1" t="n">
        <v>25</v>
      </c>
      <c r="B336" s="4" t="s">
        <v>31</v>
      </c>
      <c r="C336" s="4" t="str">
        <f aca="false">IF(LEFT(E336,2)="S5","Spritz","Standard")</f>
        <v>Standard</v>
      </c>
      <c r="D336" s="4" t="n">
        <v>1</v>
      </c>
      <c r="E336" s="5" t="s">
        <v>33</v>
      </c>
      <c r="F336" s="1" t="s">
        <v>20</v>
      </c>
      <c r="G336" s="1" t="n">
        <v>200.4</v>
      </c>
      <c r="H336" s="1" t="n">
        <v>193.5</v>
      </c>
      <c r="I336" s="1" t="n">
        <v>25.02</v>
      </c>
      <c r="J336" s="1" t="n">
        <v>2.165</v>
      </c>
      <c r="K336" s="1" t="n">
        <v>25.5</v>
      </c>
      <c r="L336" s="1" t="n">
        <v>0.0849</v>
      </c>
      <c r="M336" s="1" t="n">
        <v>-0.1599</v>
      </c>
      <c r="N336" s="1" t="n">
        <v>0.5</v>
      </c>
      <c r="O336" s="6" t="n">
        <v>3.627E-005</v>
      </c>
      <c r="P336" s="1" t="n">
        <v>0.8499</v>
      </c>
      <c r="Q336" s="1" t="n">
        <v>0.7984</v>
      </c>
      <c r="R336" s="1" t="n">
        <v>0.9279</v>
      </c>
    </row>
    <row r="337" customFormat="false" ht="12.8" hidden="false" customHeight="false" outlineLevel="0" collapsed="false">
      <c r="A337" s="1" t="n">
        <v>26</v>
      </c>
      <c r="B337" s="4" t="s">
        <v>31</v>
      </c>
      <c r="C337" s="4" t="str">
        <f aca="false">IF(LEFT(E337,2)="S5","Spritz","Standard")</f>
        <v>Standard</v>
      </c>
      <c r="D337" s="4" t="n">
        <v>1</v>
      </c>
      <c r="E337" s="5" t="s">
        <v>33</v>
      </c>
      <c r="F337" s="1" t="s">
        <v>20</v>
      </c>
      <c r="G337" s="1" t="n">
        <v>208.2</v>
      </c>
      <c r="H337" s="1" t="n">
        <v>201.3</v>
      </c>
      <c r="I337" s="1" t="n">
        <v>25.02</v>
      </c>
      <c r="J337" s="1" t="n">
        <v>3.113</v>
      </c>
      <c r="K337" s="1" t="n">
        <v>31.86</v>
      </c>
      <c r="L337" s="1" t="n">
        <v>0.09772</v>
      </c>
      <c r="M337" s="1" t="n">
        <v>-0.1579</v>
      </c>
      <c r="N337" s="1" t="n">
        <v>0.5</v>
      </c>
      <c r="O337" s="6" t="n">
        <v>5.216E-005</v>
      </c>
      <c r="P337" s="1" t="n">
        <v>1.062</v>
      </c>
      <c r="Q337" s="1" t="n">
        <v>0.7399</v>
      </c>
      <c r="R337" s="1" t="n">
        <v>2.228</v>
      </c>
    </row>
    <row r="338" customFormat="false" ht="12.8" hidden="false" customHeight="false" outlineLevel="0" collapsed="false">
      <c r="A338" s="1" t="n">
        <v>27</v>
      </c>
      <c r="B338" s="4" t="s">
        <v>31</v>
      </c>
      <c r="C338" s="4" t="str">
        <f aca="false">IF(LEFT(E338,2)="S5","Spritz","Standard")</f>
        <v>Standard</v>
      </c>
      <c r="D338" s="4" t="n">
        <v>1</v>
      </c>
      <c r="E338" s="5" t="s">
        <v>33</v>
      </c>
      <c r="F338" s="1" t="s">
        <v>20</v>
      </c>
      <c r="G338" s="1" t="n">
        <v>215.9</v>
      </c>
      <c r="H338" s="1" t="n">
        <v>209</v>
      </c>
      <c r="I338" s="1" t="n">
        <v>25.02</v>
      </c>
      <c r="J338" s="1" t="n">
        <v>2.261</v>
      </c>
      <c r="K338" s="1" t="n">
        <v>39.81</v>
      </c>
      <c r="L338" s="1" t="n">
        <v>0.0568</v>
      </c>
      <c r="M338" s="1" t="n">
        <v>-0.1602</v>
      </c>
      <c r="N338" s="1" t="n">
        <v>0.5</v>
      </c>
      <c r="O338" s="6" t="n">
        <v>3.788E-005</v>
      </c>
      <c r="P338" s="1" t="n">
        <v>1.327</v>
      </c>
      <c r="Q338" s="1" t="n">
        <v>0.4943</v>
      </c>
      <c r="R338" s="1" t="n">
        <v>5.421</v>
      </c>
    </row>
    <row r="339" customFormat="false" ht="12.8" hidden="false" customHeight="false" outlineLevel="0" collapsed="false">
      <c r="A339" s="1" t="n">
        <v>28</v>
      </c>
      <c r="B339" s="4" t="s">
        <v>31</v>
      </c>
      <c r="C339" s="4" t="str">
        <f aca="false">IF(LEFT(E339,2)="S5","Spritz","Standard")</f>
        <v>Standard</v>
      </c>
      <c r="D339" s="4" t="n">
        <v>1</v>
      </c>
      <c r="E339" s="5" t="s">
        <v>33</v>
      </c>
      <c r="F339" s="1" t="s">
        <v>20</v>
      </c>
      <c r="G339" s="1" t="n">
        <v>223.7</v>
      </c>
      <c r="H339" s="1" t="n">
        <v>216.8</v>
      </c>
      <c r="I339" s="1" t="n">
        <v>25.01</v>
      </c>
      <c r="J339" s="1" t="n">
        <v>2.85</v>
      </c>
      <c r="K339" s="1" t="n">
        <v>49.75</v>
      </c>
      <c r="L339" s="1" t="n">
        <v>0.05727</v>
      </c>
      <c r="M339" s="1" t="n">
        <v>-0.1582</v>
      </c>
      <c r="N339" s="1" t="n">
        <v>0.5</v>
      </c>
      <c r="O339" s="6" t="n">
        <v>4.774E-005</v>
      </c>
      <c r="P339" s="1" t="n">
        <v>1.659</v>
      </c>
      <c r="Q339" s="1" t="n">
        <v>0.6478</v>
      </c>
      <c r="R339" s="1" t="n">
        <v>4.703</v>
      </c>
    </row>
    <row r="340" customFormat="false" ht="12.8" hidden="false" customHeight="false" outlineLevel="0" collapsed="false">
      <c r="A340" s="1" t="n">
        <v>29</v>
      </c>
      <c r="B340" s="4" t="s">
        <v>31</v>
      </c>
      <c r="C340" s="4" t="str">
        <f aca="false">IF(LEFT(E340,2)="S5","Spritz","Standard")</f>
        <v>Standard</v>
      </c>
      <c r="D340" s="4" t="n">
        <v>1</v>
      </c>
      <c r="E340" s="5" t="s">
        <v>33</v>
      </c>
      <c r="F340" s="1" t="s">
        <v>20</v>
      </c>
      <c r="G340" s="1" t="n">
        <v>231.4</v>
      </c>
      <c r="H340" s="1" t="n">
        <v>224.5</v>
      </c>
      <c r="I340" s="1" t="n">
        <v>25.02</v>
      </c>
      <c r="J340" s="1" t="n">
        <v>3.887</v>
      </c>
      <c r="K340" s="1" t="n">
        <v>62.17</v>
      </c>
      <c r="L340" s="1" t="n">
        <v>0.06252</v>
      </c>
      <c r="M340" s="1" t="n">
        <v>-0.1597</v>
      </c>
      <c r="N340" s="1" t="n">
        <v>0.5</v>
      </c>
      <c r="O340" s="6" t="n">
        <v>6.511E-005</v>
      </c>
      <c r="P340" s="1" t="n">
        <v>2.072</v>
      </c>
      <c r="Q340" s="1" t="n">
        <v>1.025</v>
      </c>
      <c r="R340" s="1" t="n">
        <v>0.6515</v>
      </c>
    </row>
    <row r="341" customFormat="false" ht="12.8" hidden="false" customHeight="false" outlineLevel="0" collapsed="false">
      <c r="A341" s="1" t="n">
        <v>30</v>
      </c>
      <c r="B341" s="4" t="s">
        <v>31</v>
      </c>
      <c r="C341" s="4" t="str">
        <f aca="false">IF(LEFT(E341,2)="S5","Spritz","Standard")</f>
        <v>Standard</v>
      </c>
      <c r="D341" s="4" t="n">
        <v>1</v>
      </c>
      <c r="E341" s="5" t="s">
        <v>33</v>
      </c>
      <c r="F341" s="1" t="s">
        <v>20</v>
      </c>
      <c r="G341" s="1" t="n">
        <v>239.2</v>
      </c>
      <c r="H341" s="1" t="n">
        <v>232.3</v>
      </c>
      <c r="I341" s="1" t="n">
        <v>25.02</v>
      </c>
      <c r="J341" s="1" t="n">
        <v>2.281</v>
      </c>
      <c r="K341" s="1" t="n">
        <v>77.69</v>
      </c>
      <c r="L341" s="1" t="n">
        <v>0.02936</v>
      </c>
      <c r="M341" s="1" t="n">
        <v>-0.16</v>
      </c>
      <c r="N341" s="1" t="n">
        <v>0.5</v>
      </c>
      <c r="O341" s="6" t="n">
        <v>3.821E-005</v>
      </c>
      <c r="P341" s="1" t="n">
        <v>2.59</v>
      </c>
      <c r="Q341" s="1" t="n">
        <v>1.065</v>
      </c>
      <c r="R341" s="1" t="n">
        <v>0.3055</v>
      </c>
    </row>
    <row r="342" customFormat="false" ht="12.8" hidden="false" customHeight="false" outlineLevel="0" collapsed="false">
      <c r="A342" s="1" t="n">
        <v>31</v>
      </c>
      <c r="B342" s="4" t="s">
        <v>31</v>
      </c>
      <c r="C342" s="4" t="str">
        <f aca="false">IF(LEFT(E342,2)="S5","Spritz","Standard")</f>
        <v>Standard</v>
      </c>
      <c r="D342" s="4" t="n">
        <v>1</v>
      </c>
      <c r="E342" s="5" t="s">
        <v>33</v>
      </c>
      <c r="F342" s="1" t="s">
        <v>20</v>
      </c>
      <c r="G342" s="1" t="n">
        <v>246.9</v>
      </c>
      <c r="H342" s="1" t="n">
        <v>240</v>
      </c>
      <c r="I342" s="1" t="n">
        <v>25.01</v>
      </c>
      <c r="J342" s="1" t="n">
        <v>3.615</v>
      </c>
      <c r="K342" s="1" t="n">
        <v>97.08</v>
      </c>
      <c r="L342" s="1" t="n">
        <v>0.03723</v>
      </c>
      <c r="M342" s="1" t="n">
        <v>-0.1636</v>
      </c>
      <c r="N342" s="1" t="n">
        <v>0.5</v>
      </c>
      <c r="O342" s="6" t="n">
        <v>6.056E-005</v>
      </c>
      <c r="P342" s="1" t="n">
        <v>3.236</v>
      </c>
      <c r="Q342" s="1" t="n">
        <v>1.326</v>
      </c>
      <c r="R342" s="1" t="n">
        <v>4.564</v>
      </c>
    </row>
    <row r="343" customFormat="false" ht="12.8" hidden="false" customHeight="false" outlineLevel="0" collapsed="false">
      <c r="A343" s="1" t="n">
        <v>1</v>
      </c>
      <c r="B343" s="4" t="s">
        <v>31</v>
      </c>
      <c r="C343" s="4" t="str">
        <f aca="false">IF(LEFT(E343,2)="S5","Spritz","Standard")</f>
        <v>Standard</v>
      </c>
      <c r="D343" s="4" t="n">
        <v>2</v>
      </c>
      <c r="E343" s="5" t="s">
        <v>34</v>
      </c>
      <c r="F343" s="1" t="s">
        <v>20</v>
      </c>
      <c r="G343" s="1" t="n">
        <v>20.52</v>
      </c>
      <c r="H343" s="1" t="n">
        <v>7.74</v>
      </c>
      <c r="I343" s="1" t="n">
        <v>25.05</v>
      </c>
      <c r="J343" s="1" t="n">
        <v>0.5001</v>
      </c>
      <c r="K343" s="1" t="n">
        <v>0.1213</v>
      </c>
      <c r="L343" s="1" t="n">
        <v>4.124</v>
      </c>
      <c r="M343" s="1" t="n">
        <v>-0.1508</v>
      </c>
      <c r="N343" s="1" t="n">
        <v>0.5</v>
      </c>
      <c r="O343" s="6" t="n">
        <v>8.377E-006</v>
      </c>
      <c r="P343" s="6" t="n">
        <v>0.004042</v>
      </c>
      <c r="Q343" s="1" t="n">
        <v>0.9239</v>
      </c>
      <c r="R343" s="1" t="n">
        <v>4.842</v>
      </c>
    </row>
    <row r="344" customFormat="false" ht="12.8" hidden="false" customHeight="false" outlineLevel="0" collapsed="false">
      <c r="A344" s="1" t="n">
        <v>2</v>
      </c>
      <c r="B344" s="4" t="s">
        <v>31</v>
      </c>
      <c r="C344" s="4" t="str">
        <f aca="false">IF(LEFT(E344,2)="S5","Spritz","Standard")</f>
        <v>Standard</v>
      </c>
      <c r="D344" s="4" t="n">
        <v>2</v>
      </c>
      <c r="E344" s="5" t="s">
        <v>34</v>
      </c>
      <c r="F344" s="1" t="s">
        <v>20</v>
      </c>
      <c r="G344" s="1" t="n">
        <v>28.27</v>
      </c>
      <c r="H344" s="1" t="n">
        <v>15.49</v>
      </c>
      <c r="I344" s="1" t="n">
        <v>25.06</v>
      </c>
      <c r="J344" s="1" t="n">
        <v>0.7047</v>
      </c>
      <c r="K344" s="1" t="n">
        <v>0.1515</v>
      </c>
      <c r="L344" s="1" t="n">
        <v>4.65</v>
      </c>
      <c r="M344" s="1" t="n">
        <v>-0.1528</v>
      </c>
      <c r="N344" s="1" t="n">
        <v>0.5</v>
      </c>
      <c r="O344" s="6" t="n">
        <v>1.18E-005</v>
      </c>
      <c r="P344" s="6" t="n">
        <v>0.005052</v>
      </c>
      <c r="Q344" s="1" t="n">
        <v>0.9516</v>
      </c>
      <c r="R344" s="1" t="n">
        <v>4.878</v>
      </c>
    </row>
    <row r="345" customFormat="false" ht="12.8" hidden="false" customHeight="false" outlineLevel="0" collapsed="false">
      <c r="A345" s="1" t="n">
        <v>3</v>
      </c>
      <c r="B345" s="4" t="s">
        <v>31</v>
      </c>
      <c r="C345" s="4" t="str">
        <f aca="false">IF(LEFT(E345,2)="S5","Spritz","Standard")</f>
        <v>Standard</v>
      </c>
      <c r="D345" s="4" t="n">
        <v>2</v>
      </c>
      <c r="E345" s="5" t="s">
        <v>34</v>
      </c>
      <c r="F345" s="1" t="s">
        <v>20</v>
      </c>
      <c r="G345" s="1" t="n">
        <v>36.01</v>
      </c>
      <c r="H345" s="1" t="n">
        <v>23.23</v>
      </c>
      <c r="I345" s="1" t="n">
        <v>25.07</v>
      </c>
      <c r="J345" s="1" t="n">
        <v>0.6777</v>
      </c>
      <c r="K345" s="1" t="n">
        <v>0.1894</v>
      </c>
      <c r="L345" s="1" t="n">
        <v>3.579</v>
      </c>
      <c r="M345" s="1" t="n">
        <v>-0.1552</v>
      </c>
      <c r="N345" s="1" t="n">
        <v>0.5</v>
      </c>
      <c r="O345" s="6" t="n">
        <v>1.135E-005</v>
      </c>
      <c r="P345" s="6" t="n">
        <v>0.006312</v>
      </c>
      <c r="Q345" s="1" t="n">
        <v>1.041</v>
      </c>
      <c r="R345" s="1" t="n">
        <v>4.923</v>
      </c>
    </row>
    <row r="346" customFormat="false" ht="12.8" hidden="false" customHeight="false" outlineLevel="0" collapsed="false">
      <c r="A346" s="1" t="n">
        <v>4</v>
      </c>
      <c r="B346" s="4" t="s">
        <v>31</v>
      </c>
      <c r="C346" s="4" t="str">
        <f aca="false">IF(LEFT(E346,2)="S5","Spritz","Standard")</f>
        <v>Standard</v>
      </c>
      <c r="D346" s="4" t="n">
        <v>2</v>
      </c>
      <c r="E346" s="5" t="s">
        <v>34</v>
      </c>
      <c r="F346" s="1" t="s">
        <v>20</v>
      </c>
      <c r="G346" s="1" t="n">
        <v>43.75</v>
      </c>
      <c r="H346" s="1" t="n">
        <v>30.97</v>
      </c>
      <c r="I346" s="1" t="n">
        <v>25.07</v>
      </c>
      <c r="J346" s="1" t="n">
        <v>0.597</v>
      </c>
      <c r="K346" s="1" t="n">
        <v>0.2367</v>
      </c>
      <c r="L346" s="1" t="n">
        <v>2.523</v>
      </c>
      <c r="M346" s="1" t="n">
        <v>-0.1562</v>
      </c>
      <c r="N346" s="1" t="n">
        <v>0.5</v>
      </c>
      <c r="O346" s="6" t="n">
        <v>1E-005</v>
      </c>
      <c r="P346" s="6" t="n">
        <v>0.007889</v>
      </c>
      <c r="Q346" s="1" t="n">
        <v>1.032</v>
      </c>
      <c r="R346" s="1" t="n">
        <v>4.979</v>
      </c>
    </row>
    <row r="347" customFormat="false" ht="12.8" hidden="false" customHeight="false" outlineLevel="0" collapsed="false">
      <c r="A347" s="1" t="n">
        <v>5</v>
      </c>
      <c r="B347" s="4" t="s">
        <v>31</v>
      </c>
      <c r="C347" s="4" t="str">
        <f aca="false">IF(LEFT(E347,2)="S5","Spritz","Standard")</f>
        <v>Standard</v>
      </c>
      <c r="D347" s="4" t="n">
        <v>2</v>
      </c>
      <c r="E347" s="5" t="s">
        <v>34</v>
      </c>
      <c r="F347" s="1" t="s">
        <v>20</v>
      </c>
      <c r="G347" s="1" t="n">
        <v>51.49</v>
      </c>
      <c r="H347" s="1" t="n">
        <v>38.71</v>
      </c>
      <c r="I347" s="1" t="n">
        <v>25.07</v>
      </c>
      <c r="J347" s="1" t="n">
        <v>0.6402</v>
      </c>
      <c r="K347" s="1" t="n">
        <v>0.2957</v>
      </c>
      <c r="L347" s="1" t="n">
        <v>2.165</v>
      </c>
      <c r="M347" s="1" t="n">
        <v>-0.1563</v>
      </c>
      <c r="N347" s="1" t="n">
        <v>0.5</v>
      </c>
      <c r="O347" s="6" t="n">
        <v>1.072E-005</v>
      </c>
      <c r="P347" s="6" t="n">
        <v>0.009857</v>
      </c>
      <c r="Q347" s="1" t="n">
        <v>0.9078</v>
      </c>
      <c r="R347" s="1" t="n">
        <v>5.049</v>
      </c>
    </row>
    <row r="348" customFormat="false" ht="12.8" hidden="false" customHeight="false" outlineLevel="0" collapsed="false">
      <c r="A348" s="1" t="n">
        <v>6</v>
      </c>
      <c r="B348" s="4" t="s">
        <v>31</v>
      </c>
      <c r="C348" s="4" t="str">
        <f aca="false">IF(LEFT(E348,2)="S5","Spritz","Standard")</f>
        <v>Standard</v>
      </c>
      <c r="D348" s="4" t="n">
        <v>2</v>
      </c>
      <c r="E348" s="5" t="s">
        <v>34</v>
      </c>
      <c r="F348" s="1" t="s">
        <v>20</v>
      </c>
      <c r="G348" s="1" t="n">
        <v>59.23</v>
      </c>
      <c r="H348" s="1" t="n">
        <v>46.45</v>
      </c>
      <c r="I348" s="1" t="n">
        <v>25.07</v>
      </c>
      <c r="J348" s="1" t="n">
        <v>0.5852</v>
      </c>
      <c r="K348" s="1" t="n">
        <v>0.3695</v>
      </c>
      <c r="L348" s="1" t="n">
        <v>1.584</v>
      </c>
      <c r="M348" s="1" t="n">
        <v>-0.156</v>
      </c>
      <c r="N348" s="1" t="n">
        <v>0.5</v>
      </c>
      <c r="O348" s="6" t="n">
        <v>9.804E-006</v>
      </c>
      <c r="P348" s="1" t="n">
        <v>0.01232</v>
      </c>
      <c r="Q348" s="1" t="n">
        <v>0.9839</v>
      </c>
      <c r="R348" s="1" t="n">
        <v>5.137</v>
      </c>
    </row>
    <row r="349" customFormat="false" ht="12.8" hidden="false" customHeight="false" outlineLevel="0" collapsed="false">
      <c r="A349" s="1" t="n">
        <v>7</v>
      </c>
      <c r="B349" s="4" t="s">
        <v>31</v>
      </c>
      <c r="C349" s="4" t="str">
        <f aca="false">IF(LEFT(E349,2)="S5","Spritz","Standard")</f>
        <v>Standard</v>
      </c>
      <c r="D349" s="4" t="n">
        <v>2</v>
      </c>
      <c r="E349" s="5" t="s">
        <v>34</v>
      </c>
      <c r="F349" s="1" t="s">
        <v>20</v>
      </c>
      <c r="G349" s="1" t="n">
        <v>66.98</v>
      </c>
      <c r="H349" s="1" t="n">
        <v>54.2</v>
      </c>
      <c r="I349" s="1" t="n">
        <v>25.07</v>
      </c>
      <c r="J349" s="1" t="n">
        <v>0.5071</v>
      </c>
      <c r="K349" s="1" t="n">
        <v>0.4618</v>
      </c>
      <c r="L349" s="1" t="n">
        <v>1.098</v>
      </c>
      <c r="M349" s="1" t="n">
        <v>-0.158</v>
      </c>
      <c r="N349" s="1" t="n">
        <v>0.5</v>
      </c>
      <c r="O349" s="6" t="n">
        <v>8.496E-006</v>
      </c>
      <c r="P349" s="1" t="n">
        <v>0.01539</v>
      </c>
      <c r="Q349" s="1" t="n">
        <v>1.07</v>
      </c>
      <c r="R349" s="1" t="n">
        <v>5.247</v>
      </c>
    </row>
    <row r="350" customFormat="false" ht="12.8" hidden="false" customHeight="false" outlineLevel="0" collapsed="false">
      <c r="A350" s="1" t="n">
        <v>8</v>
      </c>
      <c r="B350" s="4" t="s">
        <v>31</v>
      </c>
      <c r="C350" s="4" t="str">
        <f aca="false">IF(LEFT(E350,2)="S5","Spritz","Standard")</f>
        <v>Standard</v>
      </c>
      <c r="D350" s="4" t="n">
        <v>2</v>
      </c>
      <c r="E350" s="5" t="s">
        <v>34</v>
      </c>
      <c r="F350" s="1" t="s">
        <v>20</v>
      </c>
      <c r="G350" s="1" t="n">
        <v>74.72</v>
      </c>
      <c r="H350" s="1" t="n">
        <v>61.94</v>
      </c>
      <c r="I350" s="1" t="n">
        <v>25.07</v>
      </c>
      <c r="J350" s="1" t="n">
        <v>0.4776</v>
      </c>
      <c r="K350" s="1" t="n">
        <v>0.577</v>
      </c>
      <c r="L350" s="1" t="n">
        <v>0.8278</v>
      </c>
      <c r="M350" s="1" t="n">
        <v>-0.158</v>
      </c>
      <c r="N350" s="1" t="n">
        <v>0.5</v>
      </c>
      <c r="O350" s="6" t="n">
        <v>8.002E-006</v>
      </c>
      <c r="P350" s="1" t="n">
        <v>0.01924</v>
      </c>
      <c r="Q350" s="1" t="n">
        <v>1.02</v>
      </c>
      <c r="R350" s="1" t="n">
        <v>5.385</v>
      </c>
    </row>
    <row r="351" customFormat="false" ht="12.8" hidden="false" customHeight="false" outlineLevel="0" collapsed="false">
      <c r="A351" s="1" t="n">
        <v>9</v>
      </c>
      <c r="B351" s="4" t="s">
        <v>31</v>
      </c>
      <c r="C351" s="4" t="str">
        <f aca="false">IF(LEFT(E351,2)="S5","Spritz","Standard")</f>
        <v>Standard</v>
      </c>
      <c r="D351" s="4" t="n">
        <v>2</v>
      </c>
      <c r="E351" s="5" t="s">
        <v>34</v>
      </c>
      <c r="F351" s="1" t="s">
        <v>20</v>
      </c>
      <c r="G351" s="1" t="n">
        <v>82.46</v>
      </c>
      <c r="H351" s="1" t="n">
        <v>69.68</v>
      </c>
      <c r="I351" s="1" t="n">
        <v>25.06</v>
      </c>
      <c r="J351" s="1" t="n">
        <v>0.5348</v>
      </c>
      <c r="K351" s="1" t="n">
        <v>0.721</v>
      </c>
      <c r="L351" s="1" t="n">
        <v>0.7418</v>
      </c>
      <c r="M351" s="1" t="n">
        <v>-0.1589</v>
      </c>
      <c r="N351" s="1" t="n">
        <v>0.5</v>
      </c>
      <c r="O351" s="6" t="n">
        <v>8.96E-006</v>
      </c>
      <c r="P351" s="1" t="n">
        <v>0.02403</v>
      </c>
      <c r="Q351" s="1" t="n">
        <v>1.011</v>
      </c>
      <c r="R351" s="1" t="n">
        <v>5.556</v>
      </c>
    </row>
    <row r="352" customFormat="false" ht="12.8" hidden="false" customHeight="false" outlineLevel="0" collapsed="false">
      <c r="A352" s="1" t="n">
        <v>10</v>
      </c>
      <c r="B352" s="4" t="s">
        <v>31</v>
      </c>
      <c r="C352" s="4" t="str">
        <f aca="false">IF(LEFT(E352,2)="S5","Spritz","Standard")</f>
        <v>Standard</v>
      </c>
      <c r="D352" s="4" t="n">
        <v>2</v>
      </c>
      <c r="E352" s="5" t="s">
        <v>34</v>
      </c>
      <c r="F352" s="1" t="s">
        <v>20</v>
      </c>
      <c r="G352" s="1" t="n">
        <v>90.2</v>
      </c>
      <c r="H352" s="1" t="n">
        <v>77.42</v>
      </c>
      <c r="I352" s="1" t="n">
        <v>25.06</v>
      </c>
      <c r="J352" s="1" t="n">
        <v>0.4234</v>
      </c>
      <c r="K352" s="1" t="n">
        <v>0.9011</v>
      </c>
      <c r="L352" s="1" t="n">
        <v>0.4698</v>
      </c>
      <c r="M352" s="1" t="n">
        <v>-0.161</v>
      </c>
      <c r="N352" s="1" t="n">
        <v>0.5</v>
      </c>
      <c r="O352" s="6" t="n">
        <v>7.092E-006</v>
      </c>
      <c r="P352" s="1" t="n">
        <v>0.03004</v>
      </c>
      <c r="Q352" s="1" t="n">
        <v>1.042</v>
      </c>
      <c r="R352" s="1" t="n">
        <v>5.771</v>
      </c>
    </row>
    <row r="353" customFormat="false" ht="12.8" hidden="false" customHeight="false" outlineLevel="0" collapsed="false">
      <c r="A353" s="1" t="n">
        <v>11</v>
      </c>
      <c r="B353" s="4" t="s">
        <v>31</v>
      </c>
      <c r="C353" s="4" t="str">
        <f aca="false">IF(LEFT(E353,2)="S5","Spritz","Standard")</f>
        <v>Standard</v>
      </c>
      <c r="D353" s="4" t="n">
        <v>2</v>
      </c>
      <c r="E353" s="5" t="s">
        <v>34</v>
      </c>
      <c r="F353" s="1" t="s">
        <v>20</v>
      </c>
      <c r="G353" s="1" t="n">
        <v>97.94</v>
      </c>
      <c r="H353" s="1" t="n">
        <v>85.16</v>
      </c>
      <c r="I353" s="1" t="n">
        <v>25.05</v>
      </c>
      <c r="J353" s="1" t="n">
        <v>0.4947</v>
      </c>
      <c r="K353" s="1" t="n">
        <v>1.126</v>
      </c>
      <c r="L353" s="1" t="n">
        <v>0.4393</v>
      </c>
      <c r="M353" s="1" t="n">
        <v>-0.1594</v>
      </c>
      <c r="N353" s="1" t="n">
        <v>0.5</v>
      </c>
      <c r="O353" s="6" t="n">
        <v>8.287E-006</v>
      </c>
      <c r="P353" s="1" t="n">
        <v>0.03753</v>
      </c>
      <c r="Q353" s="1" t="n">
        <v>1.154</v>
      </c>
      <c r="R353" s="1" t="n">
        <v>6.039</v>
      </c>
    </row>
    <row r="354" customFormat="false" ht="12.8" hidden="false" customHeight="false" outlineLevel="0" collapsed="false">
      <c r="A354" s="1" t="n">
        <v>12</v>
      </c>
      <c r="B354" s="4" t="s">
        <v>31</v>
      </c>
      <c r="C354" s="4" t="str">
        <f aca="false">IF(LEFT(E354,2)="S5","Spritz","Standard")</f>
        <v>Standard</v>
      </c>
      <c r="D354" s="4" t="n">
        <v>2</v>
      </c>
      <c r="E354" s="5" t="s">
        <v>34</v>
      </c>
      <c r="F354" s="1" t="s">
        <v>20</v>
      </c>
      <c r="G354" s="1" t="n">
        <v>105.7</v>
      </c>
      <c r="H354" s="1" t="n">
        <v>92.91</v>
      </c>
      <c r="I354" s="1" t="n">
        <v>25.05</v>
      </c>
      <c r="J354" s="1" t="n">
        <v>0.4798</v>
      </c>
      <c r="K354" s="1" t="n">
        <v>1.407</v>
      </c>
      <c r="L354" s="1" t="n">
        <v>0.341</v>
      </c>
      <c r="M354" s="1" t="n">
        <v>-0.1606</v>
      </c>
      <c r="N354" s="1" t="n">
        <v>0.5</v>
      </c>
      <c r="O354" s="6" t="n">
        <v>8.038E-006</v>
      </c>
      <c r="P354" s="1" t="n">
        <v>0.04691</v>
      </c>
      <c r="Q354" s="1" t="n">
        <v>0.9681</v>
      </c>
      <c r="R354" s="1" t="n">
        <v>0.09093</v>
      </c>
    </row>
    <row r="355" customFormat="false" ht="12.8" hidden="false" customHeight="false" outlineLevel="0" collapsed="false">
      <c r="A355" s="1" t="n">
        <v>13</v>
      </c>
      <c r="B355" s="4" t="s">
        <v>31</v>
      </c>
      <c r="C355" s="4" t="str">
        <f aca="false">IF(LEFT(E355,2)="S5","Spritz","Standard")</f>
        <v>Standard</v>
      </c>
      <c r="D355" s="4" t="n">
        <v>2</v>
      </c>
      <c r="E355" s="5" t="s">
        <v>34</v>
      </c>
      <c r="F355" s="1" t="s">
        <v>20</v>
      </c>
      <c r="G355" s="1" t="n">
        <v>113.4</v>
      </c>
      <c r="H355" s="1" t="n">
        <v>100.6</v>
      </c>
      <c r="I355" s="1" t="n">
        <v>25.04</v>
      </c>
      <c r="J355" s="1" t="n">
        <v>0.5076</v>
      </c>
      <c r="K355" s="1" t="n">
        <v>1.758</v>
      </c>
      <c r="L355" s="1" t="n">
        <v>0.2887</v>
      </c>
      <c r="M355" s="1" t="n">
        <v>-0.1608</v>
      </c>
      <c r="N355" s="1" t="n">
        <v>0.5</v>
      </c>
      <c r="O355" s="6" t="n">
        <v>8.504E-006</v>
      </c>
      <c r="P355" s="1" t="n">
        <v>0.05861</v>
      </c>
      <c r="Q355" s="1" t="n">
        <v>0.8852</v>
      </c>
      <c r="R355" s="1" t="n">
        <v>0.5095</v>
      </c>
    </row>
    <row r="356" customFormat="false" ht="12.8" hidden="false" customHeight="false" outlineLevel="0" collapsed="false">
      <c r="A356" s="1" t="n">
        <v>14</v>
      </c>
      <c r="B356" s="4" t="s">
        <v>31</v>
      </c>
      <c r="C356" s="4" t="str">
        <f aca="false">IF(LEFT(E356,2)="S5","Spritz","Standard")</f>
        <v>Standard</v>
      </c>
      <c r="D356" s="4" t="n">
        <v>2</v>
      </c>
      <c r="E356" s="5" t="s">
        <v>34</v>
      </c>
      <c r="F356" s="1" t="s">
        <v>20</v>
      </c>
      <c r="G356" s="1" t="n">
        <v>121.2</v>
      </c>
      <c r="H356" s="1" t="n">
        <v>108.4</v>
      </c>
      <c r="I356" s="1" t="n">
        <v>25.04</v>
      </c>
      <c r="J356" s="1" t="n">
        <v>0.5678</v>
      </c>
      <c r="K356" s="1" t="n">
        <v>2.197</v>
      </c>
      <c r="L356" s="1" t="n">
        <v>0.2584</v>
      </c>
      <c r="M356" s="1" t="n">
        <v>-0.1643</v>
      </c>
      <c r="N356" s="1" t="n">
        <v>0.5</v>
      </c>
      <c r="O356" s="6" t="n">
        <v>9.512E-006</v>
      </c>
      <c r="P356" s="1" t="n">
        <v>0.07324</v>
      </c>
      <c r="Q356" s="1" t="n">
        <v>1.136</v>
      </c>
      <c r="R356" s="1" t="n">
        <v>1.032</v>
      </c>
    </row>
    <row r="357" customFormat="false" ht="12.8" hidden="false" customHeight="false" outlineLevel="0" collapsed="false">
      <c r="A357" s="1" t="n">
        <v>15</v>
      </c>
      <c r="B357" s="4" t="s">
        <v>31</v>
      </c>
      <c r="C357" s="4" t="str">
        <f aca="false">IF(LEFT(E357,2)="S5","Spritz","Standard")</f>
        <v>Standard</v>
      </c>
      <c r="D357" s="4" t="n">
        <v>2</v>
      </c>
      <c r="E357" s="5" t="s">
        <v>34</v>
      </c>
      <c r="F357" s="1" t="s">
        <v>20</v>
      </c>
      <c r="G357" s="1" t="n">
        <v>128.9</v>
      </c>
      <c r="H357" s="1" t="n">
        <v>116.1</v>
      </c>
      <c r="I357" s="1" t="n">
        <v>25.04</v>
      </c>
      <c r="J357" s="1" t="n">
        <v>0.6211</v>
      </c>
      <c r="K357" s="1" t="n">
        <v>2.746</v>
      </c>
      <c r="L357" s="1" t="n">
        <v>0.2262</v>
      </c>
      <c r="M357" s="1" t="n">
        <v>-0.1616</v>
      </c>
      <c r="N357" s="1" t="n">
        <v>0.5</v>
      </c>
      <c r="O357" s="6" t="n">
        <v>1.041E-005</v>
      </c>
      <c r="P357" s="1" t="n">
        <v>0.09153</v>
      </c>
      <c r="Q357" s="1" t="n">
        <v>1.064</v>
      </c>
      <c r="R357" s="1" t="n">
        <v>1.686</v>
      </c>
    </row>
    <row r="358" customFormat="false" ht="12.8" hidden="false" customHeight="false" outlineLevel="0" collapsed="false">
      <c r="A358" s="1" t="n">
        <v>16</v>
      </c>
      <c r="B358" s="4" t="s">
        <v>31</v>
      </c>
      <c r="C358" s="4" t="str">
        <f aca="false">IF(LEFT(E358,2)="S5","Spritz","Standard")</f>
        <v>Standard</v>
      </c>
      <c r="D358" s="4" t="n">
        <v>2</v>
      </c>
      <c r="E358" s="5" t="s">
        <v>34</v>
      </c>
      <c r="F358" s="1" t="s">
        <v>20</v>
      </c>
      <c r="G358" s="1" t="n">
        <v>136.7</v>
      </c>
      <c r="H358" s="1" t="n">
        <v>123.9</v>
      </c>
      <c r="I358" s="1" t="n">
        <v>25.03</v>
      </c>
      <c r="J358" s="1" t="n">
        <v>0.6597</v>
      </c>
      <c r="K358" s="1" t="n">
        <v>3.431</v>
      </c>
      <c r="L358" s="1" t="n">
        <v>0.1923</v>
      </c>
      <c r="M358" s="1" t="n">
        <v>-0.1622</v>
      </c>
      <c r="N358" s="1" t="n">
        <v>0.5</v>
      </c>
      <c r="O358" s="6" t="n">
        <v>1.105E-005</v>
      </c>
      <c r="P358" s="1" t="n">
        <v>0.1144</v>
      </c>
      <c r="Q358" s="1" t="n">
        <v>0.7062</v>
      </c>
      <c r="R358" s="1" t="n">
        <v>2.503</v>
      </c>
    </row>
    <row r="359" customFormat="false" ht="12.8" hidden="false" customHeight="false" outlineLevel="0" collapsed="false">
      <c r="A359" s="1" t="n">
        <v>17</v>
      </c>
      <c r="B359" s="4" t="s">
        <v>31</v>
      </c>
      <c r="C359" s="4" t="str">
        <f aca="false">IF(LEFT(E359,2)="S5","Spritz","Standard")</f>
        <v>Standard</v>
      </c>
      <c r="D359" s="4" t="n">
        <v>2</v>
      </c>
      <c r="E359" s="5" t="s">
        <v>34</v>
      </c>
      <c r="F359" s="1" t="s">
        <v>20</v>
      </c>
      <c r="G359" s="1" t="n">
        <v>144.4</v>
      </c>
      <c r="H359" s="1" t="n">
        <v>131.6</v>
      </c>
      <c r="I359" s="1" t="n">
        <v>25.03</v>
      </c>
      <c r="J359" s="1" t="n">
        <v>0.7673</v>
      </c>
      <c r="K359" s="1" t="n">
        <v>4.288</v>
      </c>
      <c r="L359" s="1" t="n">
        <v>0.1789</v>
      </c>
      <c r="M359" s="1" t="n">
        <v>-0.1639</v>
      </c>
      <c r="N359" s="1" t="n">
        <v>0.5</v>
      </c>
      <c r="O359" s="6" t="n">
        <v>1.285E-005</v>
      </c>
      <c r="P359" s="1" t="n">
        <v>0.1429</v>
      </c>
      <c r="Q359" s="1" t="n">
        <v>1.056</v>
      </c>
      <c r="R359" s="1" t="n">
        <v>3.524</v>
      </c>
    </row>
    <row r="360" customFormat="false" ht="12.8" hidden="false" customHeight="false" outlineLevel="0" collapsed="false">
      <c r="A360" s="1" t="n">
        <v>18</v>
      </c>
      <c r="B360" s="4" t="s">
        <v>31</v>
      </c>
      <c r="C360" s="4" t="str">
        <f aca="false">IF(LEFT(E360,2)="S5","Spritz","Standard")</f>
        <v>Standard</v>
      </c>
      <c r="D360" s="4" t="n">
        <v>2</v>
      </c>
      <c r="E360" s="5" t="s">
        <v>34</v>
      </c>
      <c r="F360" s="1" t="s">
        <v>20</v>
      </c>
      <c r="G360" s="1" t="n">
        <v>152.1</v>
      </c>
      <c r="H360" s="1" t="n">
        <v>139.4</v>
      </c>
      <c r="I360" s="1" t="n">
        <v>25.03</v>
      </c>
      <c r="J360" s="1" t="n">
        <v>0.7431</v>
      </c>
      <c r="K360" s="1" t="n">
        <v>5.358</v>
      </c>
      <c r="L360" s="1" t="n">
        <v>0.1387</v>
      </c>
      <c r="M360" s="1" t="n">
        <v>-0.1628</v>
      </c>
      <c r="N360" s="1" t="n">
        <v>0.5</v>
      </c>
      <c r="O360" s="6" t="n">
        <v>1.245E-005</v>
      </c>
      <c r="P360" s="1" t="n">
        <v>0.1786</v>
      </c>
      <c r="Q360" s="1" t="n">
        <v>1.111</v>
      </c>
      <c r="R360" s="1" t="n">
        <v>4.8</v>
      </c>
    </row>
    <row r="361" customFormat="false" ht="12.8" hidden="false" customHeight="false" outlineLevel="0" collapsed="false">
      <c r="A361" s="1" t="n">
        <v>19</v>
      </c>
      <c r="B361" s="4" t="s">
        <v>31</v>
      </c>
      <c r="C361" s="4" t="str">
        <f aca="false">IF(LEFT(E361,2)="S5","Spritz","Standard")</f>
        <v>Standard</v>
      </c>
      <c r="D361" s="4" t="n">
        <v>2</v>
      </c>
      <c r="E361" s="5" t="s">
        <v>34</v>
      </c>
      <c r="F361" s="1" t="s">
        <v>20</v>
      </c>
      <c r="G361" s="1" t="n">
        <v>159.9</v>
      </c>
      <c r="H361" s="1" t="n">
        <v>147.1</v>
      </c>
      <c r="I361" s="1" t="n">
        <v>25.03</v>
      </c>
      <c r="J361" s="1" t="n">
        <v>0.919</v>
      </c>
      <c r="K361" s="1" t="n">
        <v>6.695</v>
      </c>
      <c r="L361" s="1" t="n">
        <v>0.1373</v>
      </c>
      <c r="M361" s="1" t="n">
        <v>-0.1631</v>
      </c>
      <c r="N361" s="1" t="n">
        <v>0.5</v>
      </c>
      <c r="O361" s="6" t="n">
        <v>1.54E-005</v>
      </c>
      <c r="P361" s="1" t="n">
        <v>0.2232</v>
      </c>
      <c r="Q361" s="1" t="n">
        <v>1.124</v>
      </c>
      <c r="R361" s="1" t="n">
        <v>0.1101</v>
      </c>
    </row>
    <row r="362" customFormat="false" ht="12.8" hidden="false" customHeight="false" outlineLevel="0" collapsed="false">
      <c r="A362" s="1" t="n">
        <v>20</v>
      </c>
      <c r="B362" s="4" t="s">
        <v>31</v>
      </c>
      <c r="C362" s="4" t="str">
        <f aca="false">IF(LEFT(E362,2)="S5","Spritz","Standard")</f>
        <v>Standard</v>
      </c>
      <c r="D362" s="4" t="n">
        <v>2</v>
      </c>
      <c r="E362" s="5" t="s">
        <v>34</v>
      </c>
      <c r="F362" s="1" t="s">
        <v>20</v>
      </c>
      <c r="G362" s="1" t="n">
        <v>167.6</v>
      </c>
      <c r="H362" s="1" t="n">
        <v>154.8</v>
      </c>
      <c r="I362" s="1" t="n">
        <v>25.03</v>
      </c>
      <c r="J362" s="1" t="n">
        <v>0.762</v>
      </c>
      <c r="K362" s="1" t="n">
        <v>8.367</v>
      </c>
      <c r="L362" s="1" t="n">
        <v>0.09107</v>
      </c>
      <c r="M362" s="1" t="n">
        <v>-0.1639</v>
      </c>
      <c r="N362" s="1" t="n">
        <v>0.5</v>
      </c>
      <c r="O362" s="6" t="n">
        <v>1.276E-005</v>
      </c>
      <c r="P362" s="1" t="n">
        <v>0.2789</v>
      </c>
      <c r="Q362" s="1" t="n">
        <v>1.114</v>
      </c>
      <c r="R362" s="1" t="n">
        <v>2.103</v>
      </c>
    </row>
    <row r="363" customFormat="false" ht="12.8" hidden="false" customHeight="false" outlineLevel="0" collapsed="false">
      <c r="A363" s="1" t="n">
        <v>21</v>
      </c>
      <c r="B363" s="4" t="s">
        <v>31</v>
      </c>
      <c r="C363" s="4" t="str">
        <f aca="false">IF(LEFT(E363,2)="S5","Spritz","Standard")</f>
        <v>Standard</v>
      </c>
      <c r="D363" s="4" t="n">
        <v>2</v>
      </c>
      <c r="E363" s="5" t="s">
        <v>34</v>
      </c>
      <c r="F363" s="1" t="s">
        <v>20</v>
      </c>
      <c r="G363" s="1" t="n">
        <v>175.4</v>
      </c>
      <c r="H363" s="1" t="n">
        <v>162.6</v>
      </c>
      <c r="I363" s="1" t="n">
        <v>25.02</v>
      </c>
      <c r="J363" s="1" t="n">
        <v>0.7611</v>
      </c>
      <c r="K363" s="1" t="n">
        <v>10.46</v>
      </c>
      <c r="L363" s="1" t="n">
        <v>0.0728</v>
      </c>
      <c r="M363" s="1" t="n">
        <v>-0.1635</v>
      </c>
      <c r="N363" s="1" t="n">
        <v>0.5</v>
      </c>
      <c r="O363" s="6" t="n">
        <v>1.275E-005</v>
      </c>
      <c r="P363" s="1" t="n">
        <v>0.3485</v>
      </c>
      <c r="Q363" s="1" t="n">
        <v>0.8457</v>
      </c>
      <c r="R363" s="1" t="n">
        <v>4.591</v>
      </c>
    </row>
    <row r="364" customFormat="false" ht="12.8" hidden="false" customHeight="false" outlineLevel="0" collapsed="false">
      <c r="A364" s="1" t="n">
        <v>22</v>
      </c>
      <c r="B364" s="4" t="s">
        <v>31</v>
      </c>
      <c r="C364" s="4" t="str">
        <f aca="false">IF(LEFT(E364,2)="S5","Spritz","Standard")</f>
        <v>Standard</v>
      </c>
      <c r="D364" s="4" t="n">
        <v>2</v>
      </c>
      <c r="E364" s="5" t="s">
        <v>34</v>
      </c>
      <c r="F364" s="1" t="s">
        <v>20</v>
      </c>
      <c r="G364" s="1" t="n">
        <v>183.1</v>
      </c>
      <c r="H364" s="1" t="n">
        <v>170.3</v>
      </c>
      <c r="I364" s="1" t="n">
        <v>25.02</v>
      </c>
      <c r="J364" s="1" t="n">
        <v>0.6413</v>
      </c>
      <c r="K364" s="1" t="n">
        <v>13.07</v>
      </c>
      <c r="L364" s="1" t="n">
        <v>0.04908</v>
      </c>
      <c r="M364" s="1" t="n">
        <v>-0.1641</v>
      </c>
      <c r="N364" s="1" t="n">
        <v>0.5</v>
      </c>
      <c r="O364" s="6" t="n">
        <v>1.074E-005</v>
      </c>
      <c r="P364" s="1" t="n">
        <v>0.4356</v>
      </c>
      <c r="Q364" s="1" t="n">
        <v>0.9088</v>
      </c>
      <c r="R364" s="1" t="n">
        <v>1.42</v>
      </c>
    </row>
    <row r="365" customFormat="false" ht="12.8" hidden="false" customHeight="false" outlineLevel="0" collapsed="false">
      <c r="A365" s="1" t="n">
        <v>23</v>
      </c>
      <c r="B365" s="4" t="s">
        <v>31</v>
      </c>
      <c r="C365" s="4" t="str">
        <f aca="false">IF(LEFT(E365,2)="S5","Spritz","Standard")</f>
        <v>Standard</v>
      </c>
      <c r="D365" s="4" t="n">
        <v>2</v>
      </c>
      <c r="E365" s="5" t="s">
        <v>34</v>
      </c>
      <c r="F365" s="1" t="s">
        <v>20</v>
      </c>
      <c r="G365" s="1" t="n">
        <v>190.8</v>
      </c>
      <c r="H365" s="1" t="n">
        <v>178.1</v>
      </c>
      <c r="I365" s="1" t="n">
        <v>25.02</v>
      </c>
      <c r="J365" s="1" t="n">
        <v>0.8377</v>
      </c>
      <c r="K365" s="1" t="n">
        <v>16.33</v>
      </c>
      <c r="L365" s="1" t="n">
        <v>0.05131</v>
      </c>
      <c r="M365" s="1" t="n">
        <v>-0.163</v>
      </c>
      <c r="N365" s="1" t="n">
        <v>0.5</v>
      </c>
      <c r="O365" s="6" t="n">
        <v>1.403E-005</v>
      </c>
      <c r="P365" s="1" t="n">
        <v>0.5443</v>
      </c>
      <c r="Q365" s="1" t="n">
        <v>0.8623</v>
      </c>
      <c r="R365" s="1" t="n">
        <v>5.307</v>
      </c>
    </row>
    <row r="366" customFormat="false" ht="12.8" hidden="false" customHeight="false" outlineLevel="0" collapsed="false">
      <c r="A366" s="1" t="n">
        <v>24</v>
      </c>
      <c r="B366" s="4" t="s">
        <v>31</v>
      </c>
      <c r="C366" s="4" t="str">
        <f aca="false">IF(LEFT(E366,2)="S5","Spritz","Standard")</f>
        <v>Standard</v>
      </c>
      <c r="D366" s="4" t="n">
        <v>2</v>
      </c>
      <c r="E366" s="5" t="s">
        <v>34</v>
      </c>
      <c r="F366" s="1" t="s">
        <v>20</v>
      </c>
      <c r="G366" s="1" t="n">
        <v>198.6</v>
      </c>
      <c r="H366" s="1" t="n">
        <v>185.8</v>
      </c>
      <c r="I366" s="1" t="n">
        <v>25.02</v>
      </c>
      <c r="J366" s="1" t="n">
        <v>0.7605</v>
      </c>
      <c r="K366" s="1" t="n">
        <v>20.4</v>
      </c>
      <c r="L366" s="1" t="n">
        <v>0.03728</v>
      </c>
      <c r="M366" s="1" t="n">
        <v>-0.163</v>
      </c>
      <c r="N366" s="1" t="n">
        <v>0.5</v>
      </c>
      <c r="O366" s="6" t="n">
        <v>1.274E-005</v>
      </c>
      <c r="P366" s="1" t="n">
        <v>0.6801</v>
      </c>
      <c r="Q366" s="1" t="n">
        <v>1.038</v>
      </c>
      <c r="R366" s="1" t="n">
        <v>3.879</v>
      </c>
    </row>
    <row r="367" customFormat="false" ht="12.8" hidden="false" customHeight="false" outlineLevel="0" collapsed="false">
      <c r="A367" s="1" t="n">
        <v>25</v>
      </c>
      <c r="B367" s="4" t="s">
        <v>31</v>
      </c>
      <c r="C367" s="4" t="str">
        <f aca="false">IF(LEFT(E367,2)="S5","Spritz","Standard")</f>
        <v>Standard</v>
      </c>
      <c r="D367" s="4" t="n">
        <v>2</v>
      </c>
      <c r="E367" s="5" t="s">
        <v>34</v>
      </c>
      <c r="F367" s="1" t="s">
        <v>20</v>
      </c>
      <c r="G367" s="1" t="n">
        <v>206.3</v>
      </c>
      <c r="H367" s="1" t="n">
        <v>193.6</v>
      </c>
      <c r="I367" s="1" t="n">
        <v>25.02</v>
      </c>
      <c r="J367" s="1" t="n">
        <v>0.9999</v>
      </c>
      <c r="K367" s="1" t="n">
        <v>25.5</v>
      </c>
      <c r="L367" s="1" t="n">
        <v>0.03922</v>
      </c>
      <c r="M367" s="1" t="n">
        <v>-0.1634</v>
      </c>
      <c r="N367" s="1" t="n">
        <v>0.5</v>
      </c>
      <c r="O367" s="6" t="n">
        <v>1.675E-005</v>
      </c>
      <c r="P367" s="1" t="n">
        <v>0.8499</v>
      </c>
      <c r="Q367" s="1" t="n">
        <v>0.416</v>
      </c>
      <c r="R367" s="1" t="n">
        <v>3.669</v>
      </c>
    </row>
    <row r="368" customFormat="false" ht="12.8" hidden="false" customHeight="false" outlineLevel="0" collapsed="false">
      <c r="A368" s="1" t="n">
        <v>26</v>
      </c>
      <c r="B368" s="4" t="s">
        <v>31</v>
      </c>
      <c r="C368" s="4" t="str">
        <f aca="false">IF(LEFT(E368,2)="S5","Spritz","Standard")</f>
        <v>Standard</v>
      </c>
      <c r="D368" s="4" t="n">
        <v>2</v>
      </c>
      <c r="E368" s="5" t="s">
        <v>34</v>
      </c>
      <c r="F368" s="1" t="s">
        <v>20</v>
      </c>
      <c r="G368" s="1" t="n">
        <v>214.1</v>
      </c>
      <c r="H368" s="1" t="n">
        <v>201.3</v>
      </c>
      <c r="I368" s="1" t="n">
        <v>25.01</v>
      </c>
      <c r="J368" s="1" t="n">
        <v>0.8632</v>
      </c>
      <c r="K368" s="1" t="n">
        <v>31.86</v>
      </c>
      <c r="L368" s="1" t="n">
        <v>0.02709</v>
      </c>
      <c r="M368" s="1" t="n">
        <v>-0.1639</v>
      </c>
      <c r="N368" s="1" t="n">
        <v>0.5</v>
      </c>
      <c r="O368" s="6" t="n">
        <v>1.446E-005</v>
      </c>
      <c r="P368" s="1" t="n">
        <v>1.062</v>
      </c>
      <c r="Q368" s="1" t="n">
        <v>1.107</v>
      </c>
      <c r="R368" s="1" t="n">
        <v>4.969</v>
      </c>
    </row>
    <row r="369" customFormat="false" ht="12.8" hidden="false" customHeight="false" outlineLevel="0" collapsed="false">
      <c r="A369" s="1" t="n">
        <v>27</v>
      </c>
      <c r="B369" s="4" t="s">
        <v>31</v>
      </c>
      <c r="C369" s="4" t="str">
        <f aca="false">IF(LEFT(E369,2)="S5","Spritz","Standard")</f>
        <v>Standard</v>
      </c>
      <c r="D369" s="4" t="n">
        <v>2</v>
      </c>
      <c r="E369" s="5" t="s">
        <v>34</v>
      </c>
      <c r="F369" s="1" t="s">
        <v>20</v>
      </c>
      <c r="G369" s="1" t="n">
        <v>221.8</v>
      </c>
      <c r="H369" s="1" t="n">
        <v>209</v>
      </c>
      <c r="I369" s="1" t="n">
        <v>25.01</v>
      </c>
      <c r="J369" s="1" t="n">
        <v>0.9407</v>
      </c>
      <c r="K369" s="1" t="n">
        <v>39.81</v>
      </c>
      <c r="L369" s="1" t="n">
        <v>0.02363</v>
      </c>
      <c r="M369" s="1" t="n">
        <v>-0.1643</v>
      </c>
      <c r="N369" s="1" t="n">
        <v>0.5</v>
      </c>
      <c r="O369" s="6" t="n">
        <v>1.576E-005</v>
      </c>
      <c r="P369" s="1" t="n">
        <v>1.327</v>
      </c>
      <c r="Q369" s="1" t="n">
        <v>1.137</v>
      </c>
      <c r="R369" s="1" t="n">
        <v>1.878</v>
      </c>
    </row>
    <row r="370" customFormat="false" ht="12.8" hidden="false" customHeight="false" outlineLevel="0" collapsed="false">
      <c r="A370" s="1" t="n">
        <v>28</v>
      </c>
      <c r="B370" s="4" t="s">
        <v>31</v>
      </c>
      <c r="C370" s="4" t="str">
        <f aca="false">IF(LEFT(E370,2)="S5","Spritz","Standard")</f>
        <v>Standard</v>
      </c>
      <c r="D370" s="4" t="n">
        <v>2</v>
      </c>
      <c r="E370" s="5" t="s">
        <v>34</v>
      </c>
      <c r="F370" s="1" t="s">
        <v>20</v>
      </c>
      <c r="G370" s="1" t="n">
        <v>229.6</v>
      </c>
      <c r="H370" s="1" t="n">
        <v>216.8</v>
      </c>
      <c r="I370" s="1" t="n">
        <v>25.01</v>
      </c>
      <c r="J370" s="1" t="n">
        <v>1.007</v>
      </c>
      <c r="K370" s="1" t="n">
        <v>49.75</v>
      </c>
      <c r="L370" s="1" t="n">
        <v>0.02024</v>
      </c>
      <c r="M370" s="1" t="n">
        <v>-0.1648</v>
      </c>
      <c r="N370" s="1" t="n">
        <v>0.5</v>
      </c>
      <c r="O370" s="6" t="n">
        <v>1.687E-005</v>
      </c>
      <c r="P370" s="1" t="n">
        <v>1.658</v>
      </c>
      <c r="Q370" s="1" t="n">
        <v>0.7747</v>
      </c>
      <c r="R370" s="1" t="n">
        <v>1.161</v>
      </c>
    </row>
    <row r="371" customFormat="false" ht="12.8" hidden="false" customHeight="false" outlineLevel="0" collapsed="false">
      <c r="A371" s="1" t="n">
        <v>29</v>
      </c>
      <c r="B371" s="4" t="s">
        <v>31</v>
      </c>
      <c r="C371" s="4" t="str">
        <f aca="false">IF(LEFT(E371,2)="S5","Spritz","Standard")</f>
        <v>Standard</v>
      </c>
      <c r="D371" s="4" t="n">
        <v>2</v>
      </c>
      <c r="E371" s="5" t="s">
        <v>34</v>
      </c>
      <c r="F371" s="1" t="s">
        <v>20</v>
      </c>
      <c r="G371" s="1" t="n">
        <v>237.3</v>
      </c>
      <c r="H371" s="1" t="n">
        <v>224.5</v>
      </c>
      <c r="I371" s="1" t="n">
        <v>25.01</v>
      </c>
      <c r="J371" s="1" t="n">
        <v>1.121</v>
      </c>
      <c r="K371" s="1" t="n">
        <v>62.17</v>
      </c>
      <c r="L371" s="1" t="n">
        <v>0.01803</v>
      </c>
      <c r="M371" s="1" t="n">
        <v>-0.1664</v>
      </c>
      <c r="N371" s="1" t="n">
        <v>0.5</v>
      </c>
      <c r="O371" s="6" t="n">
        <v>1.878E-005</v>
      </c>
      <c r="P371" s="1" t="n">
        <v>2.072</v>
      </c>
      <c r="Q371" s="1" t="n">
        <v>1.853</v>
      </c>
      <c r="R371" s="1" t="n">
        <v>3.392</v>
      </c>
    </row>
    <row r="372" customFormat="false" ht="12.8" hidden="false" customHeight="false" outlineLevel="0" collapsed="false">
      <c r="A372" s="1" t="n">
        <v>30</v>
      </c>
      <c r="B372" s="4" t="s">
        <v>31</v>
      </c>
      <c r="C372" s="4" t="str">
        <f aca="false">IF(LEFT(E372,2)="S5","Spritz","Standard")</f>
        <v>Standard</v>
      </c>
      <c r="D372" s="4" t="n">
        <v>2</v>
      </c>
      <c r="E372" s="5" t="s">
        <v>34</v>
      </c>
      <c r="F372" s="1" t="s">
        <v>20</v>
      </c>
      <c r="G372" s="1" t="n">
        <v>245</v>
      </c>
      <c r="H372" s="1" t="n">
        <v>232.3</v>
      </c>
      <c r="I372" s="1" t="n">
        <v>25.01</v>
      </c>
      <c r="J372" s="1" t="n">
        <v>0.9324</v>
      </c>
      <c r="K372" s="1" t="n">
        <v>77.7</v>
      </c>
      <c r="L372" s="1" t="n">
        <v>0.012</v>
      </c>
      <c r="M372" s="1" t="n">
        <v>-0.1663</v>
      </c>
      <c r="N372" s="1" t="n">
        <v>0.5</v>
      </c>
      <c r="O372" s="6" t="n">
        <v>1.562E-005</v>
      </c>
      <c r="P372" s="1" t="n">
        <v>2.59</v>
      </c>
      <c r="Q372" s="1" t="n">
        <v>1.157</v>
      </c>
      <c r="R372" s="1" t="n">
        <v>3.047</v>
      </c>
    </row>
    <row r="373" customFormat="false" ht="12.8" hidden="false" customHeight="false" outlineLevel="0" collapsed="false">
      <c r="A373" s="1" t="n">
        <v>31</v>
      </c>
      <c r="B373" s="4" t="s">
        <v>31</v>
      </c>
      <c r="C373" s="4" t="str">
        <f aca="false">IF(LEFT(E373,2)="S5","Spritz","Standard")</f>
        <v>Standard</v>
      </c>
      <c r="D373" s="4" t="n">
        <v>2</v>
      </c>
      <c r="E373" s="5" t="s">
        <v>34</v>
      </c>
      <c r="F373" s="1" t="s">
        <v>20</v>
      </c>
      <c r="G373" s="1" t="n">
        <v>252.8</v>
      </c>
      <c r="H373" s="1" t="n">
        <v>240</v>
      </c>
      <c r="I373" s="1" t="n">
        <v>25.01</v>
      </c>
      <c r="J373" s="1" t="n">
        <v>1.17</v>
      </c>
      <c r="K373" s="1" t="n">
        <v>97.08</v>
      </c>
      <c r="L373" s="1" t="n">
        <v>0.01205</v>
      </c>
      <c r="M373" s="1" t="n">
        <v>-0.168</v>
      </c>
      <c r="N373" s="1" t="n">
        <v>0.5</v>
      </c>
      <c r="O373" s="6" t="n">
        <v>1.959E-005</v>
      </c>
      <c r="P373" s="1" t="n">
        <v>3.236</v>
      </c>
      <c r="Q373" s="1" t="n">
        <v>1.056</v>
      </c>
      <c r="R373" s="1" t="n">
        <v>1.023</v>
      </c>
    </row>
    <row r="374" customFormat="false" ht="12.8" hidden="false" customHeight="false" outlineLevel="0" collapsed="false">
      <c r="A374" s="1" t="n">
        <v>1</v>
      </c>
      <c r="B374" s="4" t="s">
        <v>35</v>
      </c>
      <c r="C374" s="4" t="str">
        <f aca="false">IF(LEFT(E374,2)="S5","Spritz","Standard")</f>
        <v>Standard</v>
      </c>
      <c r="D374" s="4" t="n">
        <f aca="false">IF(RIGHT(E374,2)=".1",1,IF(RIGHT(E374,2)=".2",2,0))</f>
        <v>0</v>
      </c>
      <c r="E374" s="5" t="s">
        <v>36</v>
      </c>
      <c r="F374" s="1" t="s">
        <v>20</v>
      </c>
      <c r="G374" s="1" t="n">
        <v>15.83</v>
      </c>
      <c r="H374" s="1" t="n">
        <v>7.74</v>
      </c>
      <c r="I374" s="1" t="n">
        <v>25.06</v>
      </c>
      <c r="J374" s="1" t="n">
        <v>0.1952</v>
      </c>
      <c r="K374" s="1" t="n">
        <v>0.1213</v>
      </c>
      <c r="L374" s="1" t="n">
        <v>1.61</v>
      </c>
      <c r="M374" s="1" t="n">
        <v>-0.161</v>
      </c>
      <c r="N374" s="1" t="n">
        <v>0.5</v>
      </c>
      <c r="O374" s="6" t="n">
        <v>3.271E-006</v>
      </c>
      <c r="P374" s="6" t="n">
        <v>0.004042</v>
      </c>
      <c r="Q374" s="1" t="n">
        <v>0.9353</v>
      </c>
      <c r="R374" s="1" t="n">
        <v>1.285</v>
      </c>
    </row>
    <row r="375" customFormat="false" ht="12.8" hidden="false" customHeight="false" outlineLevel="0" collapsed="false">
      <c r="A375" s="1" t="n">
        <v>2</v>
      </c>
      <c r="B375" s="4" t="s">
        <v>35</v>
      </c>
      <c r="C375" s="4" t="str">
        <f aca="false">IF(LEFT(E375,2)="S5","Spritz","Standard")</f>
        <v>Standard</v>
      </c>
      <c r="D375" s="4" t="n">
        <f aca="false">IF(RIGHT(E375,2)=".1",1,IF(RIGHT(E375,2)=".2",2,0))</f>
        <v>0</v>
      </c>
      <c r="E375" s="5" t="s">
        <v>36</v>
      </c>
      <c r="F375" s="1" t="s">
        <v>20</v>
      </c>
      <c r="G375" s="1" t="n">
        <v>23.58</v>
      </c>
      <c r="H375" s="1" t="n">
        <v>15.49</v>
      </c>
      <c r="I375" s="1" t="n">
        <v>25.06</v>
      </c>
      <c r="J375" s="1" t="n">
        <v>0.2624</v>
      </c>
      <c r="K375" s="1" t="n">
        <v>0.1515</v>
      </c>
      <c r="L375" s="1" t="n">
        <v>1.732</v>
      </c>
      <c r="M375" s="1" t="n">
        <v>-0.1616</v>
      </c>
      <c r="N375" s="1" t="n">
        <v>0.5</v>
      </c>
      <c r="O375" s="6" t="n">
        <v>4.396E-006</v>
      </c>
      <c r="P375" s="6" t="n">
        <v>0.005052</v>
      </c>
      <c r="Q375" s="1" t="n">
        <v>0.9239</v>
      </c>
      <c r="R375" s="1" t="n">
        <v>1.321</v>
      </c>
    </row>
    <row r="376" customFormat="false" ht="12.8" hidden="false" customHeight="false" outlineLevel="0" collapsed="false">
      <c r="A376" s="1" t="n">
        <v>3</v>
      </c>
      <c r="B376" s="4" t="s">
        <v>35</v>
      </c>
      <c r="C376" s="4" t="str">
        <f aca="false">IF(LEFT(E376,2)="S5","Spritz","Standard")</f>
        <v>Standard</v>
      </c>
      <c r="D376" s="4" t="n">
        <f aca="false">IF(RIGHT(E376,2)=".1",1,IF(RIGHT(E376,2)=".2",2,0))</f>
        <v>0</v>
      </c>
      <c r="E376" s="5" t="s">
        <v>36</v>
      </c>
      <c r="F376" s="1" t="s">
        <v>20</v>
      </c>
      <c r="G376" s="1" t="n">
        <v>31.32</v>
      </c>
      <c r="H376" s="1" t="n">
        <v>23.23</v>
      </c>
      <c r="I376" s="1" t="n">
        <v>25.07</v>
      </c>
      <c r="J376" s="1" t="n">
        <v>0.3574</v>
      </c>
      <c r="K376" s="1" t="n">
        <v>0.1894</v>
      </c>
      <c r="L376" s="1" t="n">
        <v>1.887</v>
      </c>
      <c r="M376" s="1" t="n">
        <v>-0.1616</v>
      </c>
      <c r="N376" s="1" t="n">
        <v>0.5</v>
      </c>
      <c r="O376" s="6" t="n">
        <v>5.988E-006</v>
      </c>
      <c r="P376" s="6" t="n">
        <v>0.006312</v>
      </c>
      <c r="Q376" s="1" t="n">
        <v>0.9939</v>
      </c>
      <c r="R376" s="1" t="n">
        <v>1.366</v>
      </c>
    </row>
    <row r="377" customFormat="false" ht="12.8" hidden="false" customHeight="false" outlineLevel="0" collapsed="false">
      <c r="A377" s="1" t="n">
        <v>4</v>
      </c>
      <c r="B377" s="4" t="s">
        <v>35</v>
      </c>
      <c r="C377" s="4" t="str">
        <f aca="false">IF(LEFT(E377,2)="S5","Spritz","Standard")</f>
        <v>Standard</v>
      </c>
      <c r="D377" s="4" t="n">
        <f aca="false">IF(RIGHT(E377,2)=".1",1,IF(RIGHT(E377,2)=".2",2,0))</f>
        <v>0</v>
      </c>
      <c r="E377" s="5" t="s">
        <v>36</v>
      </c>
      <c r="F377" s="1" t="s">
        <v>20</v>
      </c>
      <c r="G377" s="1" t="n">
        <v>39.06</v>
      </c>
      <c r="H377" s="1" t="n">
        <v>30.97</v>
      </c>
      <c r="I377" s="1" t="n">
        <v>25.07</v>
      </c>
      <c r="J377" s="1" t="n">
        <v>0.3901</v>
      </c>
      <c r="K377" s="1" t="n">
        <v>0.2366</v>
      </c>
      <c r="L377" s="1" t="n">
        <v>1.649</v>
      </c>
      <c r="M377" s="1" t="n">
        <v>-0.1618</v>
      </c>
      <c r="N377" s="1" t="n">
        <v>0.5</v>
      </c>
      <c r="O377" s="6" t="n">
        <v>6.536E-006</v>
      </c>
      <c r="P377" s="6" t="n">
        <v>0.007888</v>
      </c>
      <c r="Q377" s="1" t="n">
        <v>0.9682</v>
      </c>
      <c r="R377" s="1" t="n">
        <v>1.423</v>
      </c>
    </row>
    <row r="378" customFormat="false" ht="12.8" hidden="false" customHeight="false" outlineLevel="0" collapsed="false">
      <c r="A378" s="1" t="n">
        <v>5</v>
      </c>
      <c r="B378" s="4" t="s">
        <v>35</v>
      </c>
      <c r="C378" s="4" t="str">
        <f aca="false">IF(LEFT(E378,2)="S5","Spritz","Standard")</f>
        <v>Standard</v>
      </c>
      <c r="D378" s="4" t="n">
        <f aca="false">IF(RIGHT(E378,2)=".1",1,IF(RIGHT(E378,2)=".2",2,0))</f>
        <v>0</v>
      </c>
      <c r="E378" s="5" t="s">
        <v>36</v>
      </c>
      <c r="F378" s="1" t="s">
        <v>20</v>
      </c>
      <c r="G378" s="1" t="n">
        <v>46.8</v>
      </c>
      <c r="H378" s="1" t="n">
        <v>38.71</v>
      </c>
      <c r="I378" s="1" t="n">
        <v>25.07</v>
      </c>
      <c r="J378" s="1" t="n">
        <v>0.4045</v>
      </c>
      <c r="K378" s="1" t="n">
        <v>0.2957</v>
      </c>
      <c r="L378" s="1" t="n">
        <v>1.368</v>
      </c>
      <c r="M378" s="1" t="n">
        <v>-0.1622</v>
      </c>
      <c r="N378" s="1" t="n">
        <v>0.5</v>
      </c>
      <c r="O378" s="6" t="n">
        <v>6.777E-006</v>
      </c>
      <c r="P378" s="6" t="n">
        <v>0.009857</v>
      </c>
      <c r="Q378" s="1" t="n">
        <v>0.938</v>
      </c>
      <c r="R378" s="1" t="n">
        <v>1.493</v>
      </c>
    </row>
    <row r="379" customFormat="false" ht="12.8" hidden="false" customHeight="false" outlineLevel="0" collapsed="false">
      <c r="A379" s="1" t="n">
        <v>6</v>
      </c>
      <c r="B379" s="4" t="s">
        <v>35</v>
      </c>
      <c r="C379" s="4" t="str">
        <f aca="false">IF(LEFT(E379,2)="S5","Spritz","Standard")</f>
        <v>Standard</v>
      </c>
      <c r="D379" s="4" t="n">
        <f aca="false">IF(RIGHT(E379,2)=".1",1,IF(RIGHT(E379,2)=".2",2,0))</f>
        <v>0</v>
      </c>
      <c r="E379" s="5" t="s">
        <v>36</v>
      </c>
      <c r="F379" s="1" t="s">
        <v>20</v>
      </c>
      <c r="G379" s="1" t="n">
        <v>54.54</v>
      </c>
      <c r="H379" s="1" t="n">
        <v>46.45</v>
      </c>
      <c r="I379" s="1" t="n">
        <v>25.07</v>
      </c>
      <c r="J379" s="1" t="n">
        <v>0.3759</v>
      </c>
      <c r="K379" s="1" t="n">
        <v>0.3695</v>
      </c>
      <c r="L379" s="1" t="n">
        <v>1.017</v>
      </c>
      <c r="M379" s="1" t="n">
        <v>-0.1619</v>
      </c>
      <c r="N379" s="1" t="n">
        <v>0.5</v>
      </c>
      <c r="O379" s="6" t="n">
        <v>6.297E-006</v>
      </c>
      <c r="P379" s="1" t="n">
        <v>0.01232</v>
      </c>
      <c r="Q379" s="1" t="n">
        <v>0.9081</v>
      </c>
      <c r="R379" s="1" t="n">
        <v>1.581</v>
      </c>
    </row>
    <row r="380" customFormat="false" ht="12.8" hidden="false" customHeight="false" outlineLevel="0" collapsed="false">
      <c r="A380" s="1" t="n">
        <v>7</v>
      </c>
      <c r="B380" s="4" t="s">
        <v>35</v>
      </c>
      <c r="C380" s="4" t="str">
        <f aca="false">IF(LEFT(E380,2)="S5","Spritz","Standard")</f>
        <v>Standard</v>
      </c>
      <c r="D380" s="4" t="n">
        <f aca="false">IF(RIGHT(E380,2)=".1",1,IF(RIGHT(E380,2)=".2",2,0))</f>
        <v>0</v>
      </c>
      <c r="E380" s="5" t="s">
        <v>36</v>
      </c>
      <c r="F380" s="1" t="s">
        <v>20</v>
      </c>
      <c r="G380" s="1" t="n">
        <v>62.29</v>
      </c>
      <c r="H380" s="1" t="n">
        <v>54.2</v>
      </c>
      <c r="I380" s="1" t="n">
        <v>25.06</v>
      </c>
      <c r="J380" s="1" t="n">
        <v>0.4255</v>
      </c>
      <c r="K380" s="1" t="n">
        <v>0.4618</v>
      </c>
      <c r="L380" s="1" t="n">
        <v>0.9215</v>
      </c>
      <c r="M380" s="1" t="n">
        <v>-0.1623</v>
      </c>
      <c r="N380" s="1" t="n">
        <v>0.5</v>
      </c>
      <c r="O380" s="6" t="n">
        <v>7.129E-006</v>
      </c>
      <c r="P380" s="1" t="n">
        <v>0.01539</v>
      </c>
      <c r="Q380" s="1" t="n">
        <v>0.8823</v>
      </c>
      <c r="R380" s="1" t="n">
        <v>1.691</v>
      </c>
    </row>
    <row r="381" customFormat="false" ht="12.8" hidden="false" customHeight="false" outlineLevel="0" collapsed="false">
      <c r="A381" s="1" t="n">
        <v>8</v>
      </c>
      <c r="B381" s="4" t="s">
        <v>35</v>
      </c>
      <c r="C381" s="4" t="str">
        <f aca="false">IF(LEFT(E381,2)="S5","Spritz","Standard")</f>
        <v>Standard</v>
      </c>
      <c r="D381" s="4" t="n">
        <f aca="false">IF(RIGHT(E381,2)=".1",1,IF(RIGHT(E381,2)=".2",2,0))</f>
        <v>0</v>
      </c>
      <c r="E381" s="5" t="s">
        <v>36</v>
      </c>
      <c r="F381" s="1" t="s">
        <v>20</v>
      </c>
      <c r="G381" s="1" t="n">
        <v>70.03</v>
      </c>
      <c r="H381" s="1" t="n">
        <v>61.94</v>
      </c>
      <c r="I381" s="1" t="n">
        <v>25.05</v>
      </c>
      <c r="J381" s="1" t="n">
        <v>0.4346</v>
      </c>
      <c r="K381" s="1" t="n">
        <v>0.577</v>
      </c>
      <c r="L381" s="1" t="n">
        <v>0.7532</v>
      </c>
      <c r="M381" s="1" t="n">
        <v>-0.1625</v>
      </c>
      <c r="N381" s="1" t="n">
        <v>0.5</v>
      </c>
      <c r="O381" s="6" t="n">
        <v>7.281E-006</v>
      </c>
      <c r="P381" s="1" t="n">
        <v>0.01924</v>
      </c>
      <c r="Q381" s="1" t="n">
        <v>1.062</v>
      </c>
      <c r="R381" s="1" t="n">
        <v>1.828</v>
      </c>
    </row>
    <row r="382" customFormat="false" ht="12.8" hidden="false" customHeight="false" outlineLevel="0" collapsed="false">
      <c r="A382" s="1" t="n">
        <v>9</v>
      </c>
      <c r="B382" s="4" t="s">
        <v>35</v>
      </c>
      <c r="C382" s="4" t="str">
        <f aca="false">IF(LEFT(E382,2)="S5","Spritz","Standard")</f>
        <v>Standard</v>
      </c>
      <c r="D382" s="4" t="n">
        <f aca="false">IF(RIGHT(E382,2)=".1",1,IF(RIGHT(E382,2)=".2",2,0))</f>
        <v>0</v>
      </c>
      <c r="E382" s="5" t="s">
        <v>36</v>
      </c>
      <c r="F382" s="1" t="s">
        <v>20</v>
      </c>
      <c r="G382" s="1" t="n">
        <v>77.77</v>
      </c>
      <c r="H382" s="1" t="n">
        <v>69.67</v>
      </c>
      <c r="I382" s="1" t="n">
        <v>25.05</v>
      </c>
      <c r="J382" s="1" t="n">
        <v>0.3953</v>
      </c>
      <c r="K382" s="1" t="n">
        <v>0.721</v>
      </c>
      <c r="L382" s="1" t="n">
        <v>0.5482</v>
      </c>
      <c r="M382" s="1" t="n">
        <v>-0.1635</v>
      </c>
      <c r="N382" s="1" t="n">
        <v>0.5</v>
      </c>
      <c r="O382" s="6" t="n">
        <v>6.623E-006</v>
      </c>
      <c r="P382" s="1" t="n">
        <v>0.02404</v>
      </c>
      <c r="Q382" s="1" t="n">
        <v>1.061</v>
      </c>
      <c r="R382" s="1" t="n">
        <v>2</v>
      </c>
    </row>
    <row r="383" customFormat="false" ht="12.8" hidden="false" customHeight="false" outlineLevel="0" collapsed="false">
      <c r="A383" s="1" t="n">
        <v>10</v>
      </c>
      <c r="B383" s="4" t="s">
        <v>35</v>
      </c>
      <c r="C383" s="4" t="str">
        <f aca="false">IF(LEFT(E383,2)="S5","Spritz","Standard")</f>
        <v>Standard</v>
      </c>
      <c r="D383" s="4" t="n">
        <f aca="false">IF(RIGHT(E383,2)=".1",1,IF(RIGHT(E383,2)=".2",2,0))</f>
        <v>0</v>
      </c>
      <c r="E383" s="5" t="s">
        <v>36</v>
      </c>
      <c r="F383" s="1" t="s">
        <v>20</v>
      </c>
      <c r="G383" s="1" t="n">
        <v>85.51</v>
      </c>
      <c r="H383" s="1" t="n">
        <v>77.42</v>
      </c>
      <c r="I383" s="1" t="n">
        <v>25.04</v>
      </c>
      <c r="J383" s="1" t="n">
        <v>0.3529</v>
      </c>
      <c r="K383" s="1" t="n">
        <v>0.9011</v>
      </c>
      <c r="L383" s="1" t="n">
        <v>0.3917</v>
      </c>
      <c r="M383" s="1" t="n">
        <v>-0.1635</v>
      </c>
      <c r="N383" s="1" t="n">
        <v>0.5</v>
      </c>
      <c r="O383" s="6" t="n">
        <v>5.912E-006</v>
      </c>
      <c r="P383" s="1" t="n">
        <v>0.03004</v>
      </c>
      <c r="Q383" s="1" t="n">
        <v>1.055</v>
      </c>
      <c r="R383" s="1" t="n">
        <v>2.214</v>
      </c>
    </row>
    <row r="384" customFormat="false" ht="12.8" hidden="false" customHeight="false" outlineLevel="0" collapsed="false">
      <c r="A384" s="1" t="n">
        <v>11</v>
      </c>
      <c r="B384" s="4" t="s">
        <v>35</v>
      </c>
      <c r="C384" s="4" t="str">
        <f aca="false">IF(LEFT(E384,2)="S5","Spritz","Standard")</f>
        <v>Standard</v>
      </c>
      <c r="D384" s="4" t="n">
        <f aca="false">IF(RIGHT(E384,2)=".1",1,IF(RIGHT(E384,2)=".2",2,0))</f>
        <v>0</v>
      </c>
      <c r="E384" s="5" t="s">
        <v>36</v>
      </c>
      <c r="F384" s="1" t="s">
        <v>20</v>
      </c>
      <c r="G384" s="1" t="n">
        <v>93.25</v>
      </c>
      <c r="H384" s="1" t="n">
        <v>85.16</v>
      </c>
      <c r="I384" s="1" t="n">
        <v>25.04</v>
      </c>
      <c r="J384" s="1" t="n">
        <v>0.3533</v>
      </c>
      <c r="K384" s="1" t="n">
        <v>1.126</v>
      </c>
      <c r="L384" s="1" t="n">
        <v>0.3138</v>
      </c>
      <c r="M384" s="1" t="n">
        <v>-0.1641</v>
      </c>
      <c r="N384" s="1" t="n">
        <v>0.5</v>
      </c>
      <c r="O384" s="6" t="n">
        <v>5.919E-006</v>
      </c>
      <c r="P384" s="1" t="n">
        <v>0.03753</v>
      </c>
      <c r="Q384" s="1" t="n">
        <v>1.179</v>
      </c>
      <c r="R384" s="1" t="n">
        <v>2.482</v>
      </c>
    </row>
    <row r="385" customFormat="false" ht="12.8" hidden="false" customHeight="false" outlineLevel="0" collapsed="false">
      <c r="A385" s="1" t="n">
        <v>12</v>
      </c>
      <c r="B385" s="4" t="s">
        <v>35</v>
      </c>
      <c r="C385" s="4" t="str">
        <f aca="false">IF(LEFT(E385,2)="S5","Spritz","Standard")</f>
        <v>Standard</v>
      </c>
      <c r="D385" s="4" t="n">
        <f aca="false">IF(RIGHT(E385,2)=".1",1,IF(RIGHT(E385,2)=".2",2,0))</f>
        <v>0</v>
      </c>
      <c r="E385" s="5" t="s">
        <v>36</v>
      </c>
      <c r="F385" s="1" t="s">
        <v>20</v>
      </c>
      <c r="G385" s="1" t="n">
        <v>101</v>
      </c>
      <c r="H385" s="1" t="n">
        <v>92.9</v>
      </c>
      <c r="I385" s="1" t="n">
        <v>25.04</v>
      </c>
      <c r="J385" s="1" t="n">
        <v>0.3162</v>
      </c>
      <c r="K385" s="1" t="n">
        <v>1.407</v>
      </c>
      <c r="L385" s="1" t="n">
        <v>0.2247</v>
      </c>
      <c r="M385" s="1" t="n">
        <v>-0.1658</v>
      </c>
      <c r="N385" s="1" t="n">
        <v>0.5</v>
      </c>
      <c r="O385" s="6" t="n">
        <v>5.298E-006</v>
      </c>
      <c r="P385" s="1" t="n">
        <v>0.04691</v>
      </c>
      <c r="Q385" s="1" t="n">
        <v>1.037</v>
      </c>
      <c r="R385" s="1" t="n">
        <v>2.818</v>
      </c>
    </row>
    <row r="386" customFormat="false" ht="12.8" hidden="false" customHeight="false" outlineLevel="0" collapsed="false">
      <c r="A386" s="1" t="n">
        <v>13</v>
      </c>
      <c r="B386" s="4" t="s">
        <v>35</v>
      </c>
      <c r="C386" s="4" t="str">
        <f aca="false">IF(LEFT(E386,2)="S5","Spritz","Standard")</f>
        <v>Standard</v>
      </c>
      <c r="D386" s="4" t="n">
        <f aca="false">IF(RIGHT(E386,2)=".1",1,IF(RIGHT(E386,2)=".2",2,0))</f>
        <v>0</v>
      </c>
      <c r="E386" s="5" t="s">
        <v>36</v>
      </c>
      <c r="F386" s="1" t="s">
        <v>20</v>
      </c>
      <c r="G386" s="1" t="n">
        <v>108.7</v>
      </c>
      <c r="H386" s="1" t="n">
        <v>100.6</v>
      </c>
      <c r="I386" s="1" t="n">
        <v>25.04</v>
      </c>
      <c r="J386" s="1" t="n">
        <v>0.3173</v>
      </c>
      <c r="K386" s="1" t="n">
        <v>1.758</v>
      </c>
      <c r="L386" s="1" t="n">
        <v>0.1804</v>
      </c>
      <c r="M386" s="1" t="n">
        <v>-0.1668</v>
      </c>
      <c r="N386" s="1" t="n">
        <v>0.5</v>
      </c>
      <c r="O386" s="6" t="n">
        <v>5.315E-006</v>
      </c>
      <c r="P386" s="1" t="n">
        <v>0.05861</v>
      </c>
      <c r="Q386" s="1" t="n">
        <v>1.228</v>
      </c>
      <c r="R386" s="1" t="n">
        <v>3.236</v>
      </c>
    </row>
    <row r="387" customFormat="false" ht="12.8" hidden="false" customHeight="false" outlineLevel="0" collapsed="false">
      <c r="A387" s="1" t="n">
        <v>14</v>
      </c>
      <c r="B387" s="4" t="s">
        <v>35</v>
      </c>
      <c r="C387" s="4" t="str">
        <f aca="false">IF(LEFT(E387,2)="S5","Spritz","Standard")</f>
        <v>Standard</v>
      </c>
      <c r="D387" s="4" t="n">
        <f aca="false">IF(RIGHT(E387,2)=".1",1,IF(RIGHT(E387,2)=".2",2,0))</f>
        <v>0</v>
      </c>
      <c r="E387" s="5" t="s">
        <v>36</v>
      </c>
      <c r="F387" s="1" t="s">
        <v>20</v>
      </c>
      <c r="G387" s="1" t="n">
        <v>116.5</v>
      </c>
      <c r="H387" s="1" t="n">
        <v>108.4</v>
      </c>
      <c r="I387" s="1" t="n">
        <v>25.03</v>
      </c>
      <c r="J387" s="1" t="n">
        <v>0.3863</v>
      </c>
      <c r="K387" s="1" t="n">
        <v>2.197</v>
      </c>
      <c r="L387" s="1" t="n">
        <v>0.1758</v>
      </c>
      <c r="M387" s="1" t="n">
        <v>-0.1663</v>
      </c>
      <c r="N387" s="1" t="n">
        <v>0.5</v>
      </c>
      <c r="O387" s="6" t="n">
        <v>6.472E-006</v>
      </c>
      <c r="P387" s="1" t="n">
        <v>0.07324</v>
      </c>
      <c r="Q387" s="1" t="n">
        <v>1.07</v>
      </c>
      <c r="R387" s="1" t="n">
        <v>3.759</v>
      </c>
    </row>
    <row r="388" customFormat="false" ht="12.8" hidden="false" customHeight="false" outlineLevel="0" collapsed="false">
      <c r="A388" s="1" t="n">
        <v>15</v>
      </c>
      <c r="B388" s="4" t="s">
        <v>35</v>
      </c>
      <c r="C388" s="4" t="str">
        <f aca="false">IF(LEFT(E388,2)="S5","Spritz","Standard")</f>
        <v>Standard</v>
      </c>
      <c r="D388" s="4" t="n">
        <f aca="false">IF(RIGHT(E388,2)=".1",1,IF(RIGHT(E388,2)=".2",2,0))</f>
        <v>0</v>
      </c>
      <c r="E388" s="5" t="s">
        <v>36</v>
      </c>
      <c r="F388" s="1" t="s">
        <v>20</v>
      </c>
      <c r="G388" s="1" t="n">
        <v>124.2</v>
      </c>
      <c r="H388" s="1" t="n">
        <v>116.1</v>
      </c>
      <c r="I388" s="1" t="n">
        <v>25.03</v>
      </c>
      <c r="J388" s="1" t="n">
        <v>0.3652</v>
      </c>
      <c r="K388" s="1" t="n">
        <v>2.746</v>
      </c>
      <c r="L388" s="1" t="n">
        <v>0.133</v>
      </c>
      <c r="M388" s="1" t="n">
        <v>-0.1682</v>
      </c>
      <c r="N388" s="1" t="n">
        <v>0.5</v>
      </c>
      <c r="O388" s="6" t="n">
        <v>6.119E-006</v>
      </c>
      <c r="P388" s="1" t="n">
        <v>0.09153</v>
      </c>
      <c r="Q388" s="1" t="n">
        <v>0.7874</v>
      </c>
      <c r="R388" s="1" t="n">
        <v>4.413</v>
      </c>
    </row>
    <row r="389" customFormat="false" ht="12.8" hidden="false" customHeight="false" outlineLevel="0" collapsed="false">
      <c r="A389" s="1" t="n">
        <v>16</v>
      </c>
      <c r="B389" s="4" t="s">
        <v>35</v>
      </c>
      <c r="C389" s="4" t="str">
        <f aca="false">IF(LEFT(E389,2)="S5","Spritz","Standard")</f>
        <v>Standard</v>
      </c>
      <c r="D389" s="4" t="n">
        <f aca="false">IF(RIGHT(E389,2)=".1",1,IF(RIGHT(E389,2)=".2",2,0))</f>
        <v>0</v>
      </c>
      <c r="E389" s="5" t="s">
        <v>36</v>
      </c>
      <c r="F389" s="1" t="s">
        <v>20</v>
      </c>
      <c r="G389" s="1" t="n">
        <v>132</v>
      </c>
      <c r="H389" s="1" t="n">
        <v>123.9</v>
      </c>
      <c r="I389" s="1" t="n">
        <v>25.03</v>
      </c>
      <c r="J389" s="1" t="n">
        <v>0.3192</v>
      </c>
      <c r="K389" s="1" t="n">
        <v>3.431</v>
      </c>
      <c r="L389" s="1" t="n">
        <v>0.09302</v>
      </c>
      <c r="M389" s="1" t="n">
        <v>-0.1675</v>
      </c>
      <c r="N389" s="1" t="n">
        <v>0.5</v>
      </c>
      <c r="O389" s="6" t="n">
        <v>5.347E-006</v>
      </c>
      <c r="P389" s="1" t="n">
        <v>0.1144</v>
      </c>
      <c r="Q389" s="1" t="n">
        <v>1.299</v>
      </c>
      <c r="R389" s="1" t="n">
        <v>5.23</v>
      </c>
    </row>
    <row r="390" customFormat="false" ht="12.8" hidden="false" customHeight="false" outlineLevel="0" collapsed="false">
      <c r="A390" s="1" t="n">
        <v>17</v>
      </c>
      <c r="B390" s="4" t="s">
        <v>35</v>
      </c>
      <c r="C390" s="4" t="str">
        <f aca="false">IF(LEFT(E390,2)="S5","Spritz","Standard")</f>
        <v>Standard</v>
      </c>
      <c r="D390" s="4" t="n">
        <f aca="false">IF(RIGHT(E390,2)=".1",1,IF(RIGHT(E390,2)=".2",2,0))</f>
        <v>0</v>
      </c>
      <c r="E390" s="5" t="s">
        <v>36</v>
      </c>
      <c r="F390" s="1" t="s">
        <v>20</v>
      </c>
      <c r="G390" s="1" t="n">
        <v>139.7</v>
      </c>
      <c r="H390" s="1" t="n">
        <v>131.6</v>
      </c>
      <c r="I390" s="1" t="n">
        <v>25.03</v>
      </c>
      <c r="J390" s="1" t="n">
        <v>0.441</v>
      </c>
      <c r="K390" s="1" t="n">
        <v>4.288</v>
      </c>
      <c r="L390" s="1" t="n">
        <v>0.1029</v>
      </c>
      <c r="M390" s="1" t="n">
        <v>-0.1677</v>
      </c>
      <c r="N390" s="1" t="n">
        <v>0.5</v>
      </c>
      <c r="O390" s="6" t="n">
        <v>7.388E-006</v>
      </c>
      <c r="P390" s="1" t="n">
        <v>0.1429</v>
      </c>
      <c r="Q390" s="1" t="n">
        <v>1.169</v>
      </c>
      <c r="R390" s="1" t="n">
        <v>6.251</v>
      </c>
    </row>
    <row r="391" customFormat="false" ht="12.8" hidden="false" customHeight="false" outlineLevel="0" collapsed="false">
      <c r="A391" s="1" t="n">
        <v>18</v>
      </c>
      <c r="B391" s="4" t="s">
        <v>35</v>
      </c>
      <c r="C391" s="4" t="str">
        <f aca="false">IF(LEFT(E391,2)="S5","Spritz","Standard")</f>
        <v>Standard</v>
      </c>
      <c r="D391" s="4" t="n">
        <f aca="false">IF(RIGHT(E391,2)=".1",1,IF(RIGHT(E391,2)=".2",2,0))</f>
        <v>0</v>
      </c>
      <c r="E391" s="5" t="s">
        <v>36</v>
      </c>
      <c r="F391" s="1" t="s">
        <v>20</v>
      </c>
      <c r="G391" s="1" t="n">
        <v>147.4</v>
      </c>
      <c r="H391" s="1" t="n">
        <v>139.4</v>
      </c>
      <c r="I391" s="1" t="n">
        <v>25.02</v>
      </c>
      <c r="J391" s="1" t="n">
        <v>0.5216</v>
      </c>
      <c r="K391" s="1" t="n">
        <v>5.358</v>
      </c>
      <c r="L391" s="1" t="n">
        <v>0.09735</v>
      </c>
      <c r="M391" s="1" t="n">
        <v>-0.1672</v>
      </c>
      <c r="N391" s="1" t="n">
        <v>0.5</v>
      </c>
      <c r="O391" s="6" t="n">
        <v>8.738E-006</v>
      </c>
      <c r="P391" s="1" t="n">
        <v>0.1786</v>
      </c>
      <c r="Q391" s="1" t="n">
        <v>0.838</v>
      </c>
      <c r="R391" s="1" t="n">
        <v>1.243</v>
      </c>
    </row>
    <row r="392" customFormat="false" ht="12.8" hidden="false" customHeight="false" outlineLevel="0" collapsed="false">
      <c r="A392" s="1" t="n">
        <v>19</v>
      </c>
      <c r="B392" s="4" t="s">
        <v>35</v>
      </c>
      <c r="C392" s="4" t="str">
        <f aca="false">IF(LEFT(E392,2)="S5","Spritz","Standard")</f>
        <v>Standard</v>
      </c>
      <c r="D392" s="4" t="n">
        <f aca="false">IF(RIGHT(E392,2)=".1",1,IF(RIGHT(E392,2)=".2",2,0))</f>
        <v>0</v>
      </c>
      <c r="E392" s="5" t="s">
        <v>36</v>
      </c>
      <c r="F392" s="1" t="s">
        <v>20</v>
      </c>
      <c r="G392" s="1" t="n">
        <v>155.2</v>
      </c>
      <c r="H392" s="1" t="n">
        <v>147.1</v>
      </c>
      <c r="I392" s="1" t="n">
        <v>25.02</v>
      </c>
      <c r="J392" s="1" t="n">
        <v>0.4885</v>
      </c>
      <c r="K392" s="1" t="n">
        <v>6.695</v>
      </c>
      <c r="L392" s="1" t="n">
        <v>0.07296</v>
      </c>
      <c r="M392" s="1" t="n">
        <v>-0.1685</v>
      </c>
      <c r="N392" s="1" t="n">
        <v>0.5</v>
      </c>
      <c r="O392" s="6" t="n">
        <v>8.183E-006</v>
      </c>
      <c r="P392" s="1" t="n">
        <v>0.2232</v>
      </c>
      <c r="Q392" s="1" t="n">
        <v>0.9205</v>
      </c>
      <c r="R392" s="1" t="n">
        <v>2.837</v>
      </c>
    </row>
    <row r="393" customFormat="false" ht="12.8" hidden="false" customHeight="false" outlineLevel="0" collapsed="false">
      <c r="A393" s="1" t="n">
        <v>20</v>
      </c>
      <c r="B393" s="4" t="s">
        <v>35</v>
      </c>
      <c r="C393" s="4" t="str">
        <f aca="false">IF(LEFT(E393,2)="S5","Spritz","Standard")</f>
        <v>Standard</v>
      </c>
      <c r="D393" s="4" t="n">
        <f aca="false">IF(RIGHT(E393,2)=".1",1,IF(RIGHT(E393,2)=".2",2,0))</f>
        <v>0</v>
      </c>
      <c r="E393" s="5" t="s">
        <v>36</v>
      </c>
      <c r="F393" s="1" t="s">
        <v>20</v>
      </c>
      <c r="G393" s="1" t="n">
        <v>162.9</v>
      </c>
      <c r="H393" s="1" t="n">
        <v>154.8</v>
      </c>
      <c r="I393" s="1" t="n">
        <v>25.02</v>
      </c>
      <c r="J393" s="1" t="n">
        <v>0.3795</v>
      </c>
      <c r="K393" s="1" t="n">
        <v>8.367</v>
      </c>
      <c r="L393" s="1" t="n">
        <v>0.04536</v>
      </c>
      <c r="M393" s="1" t="n">
        <v>-0.1667</v>
      </c>
      <c r="N393" s="1" t="n">
        <v>0.5</v>
      </c>
      <c r="O393" s="6" t="n">
        <v>6.359E-006</v>
      </c>
      <c r="P393" s="1" t="n">
        <v>0.2789</v>
      </c>
      <c r="Q393" s="1" t="n">
        <v>0.6786</v>
      </c>
      <c r="R393" s="1" t="n">
        <v>4.829</v>
      </c>
    </row>
    <row r="394" customFormat="false" ht="12.8" hidden="false" customHeight="false" outlineLevel="0" collapsed="false">
      <c r="A394" s="1" t="n">
        <v>21</v>
      </c>
      <c r="B394" s="4" t="s">
        <v>35</v>
      </c>
      <c r="C394" s="4" t="str">
        <f aca="false">IF(LEFT(E394,2)="S5","Spritz","Standard")</f>
        <v>Standard</v>
      </c>
      <c r="D394" s="4" t="n">
        <f aca="false">IF(RIGHT(E394,2)=".1",1,IF(RIGHT(E394,2)=".2",2,0))</f>
        <v>0</v>
      </c>
      <c r="E394" s="5" t="s">
        <v>36</v>
      </c>
      <c r="F394" s="1" t="s">
        <v>20</v>
      </c>
      <c r="G394" s="1" t="n">
        <v>170.7</v>
      </c>
      <c r="H394" s="1" t="n">
        <v>162.6</v>
      </c>
      <c r="I394" s="1" t="n">
        <v>25.02</v>
      </c>
      <c r="J394" s="1" t="n">
        <v>0.3238</v>
      </c>
      <c r="K394" s="1" t="n">
        <v>10.46</v>
      </c>
      <c r="L394" s="1" t="n">
        <v>0.03097</v>
      </c>
      <c r="M394" s="1" t="n">
        <v>-0.1671</v>
      </c>
      <c r="N394" s="1" t="n">
        <v>0.5</v>
      </c>
      <c r="O394" s="6" t="n">
        <v>5.425E-006</v>
      </c>
      <c r="P394" s="1" t="n">
        <v>0.3485</v>
      </c>
      <c r="Q394" s="1" t="n">
        <v>0.8163</v>
      </c>
      <c r="R394" s="1" t="n">
        <v>1.035</v>
      </c>
    </row>
    <row r="395" customFormat="false" ht="12.8" hidden="false" customHeight="false" outlineLevel="0" collapsed="false">
      <c r="A395" s="1" t="n">
        <v>22</v>
      </c>
      <c r="B395" s="4" t="s">
        <v>35</v>
      </c>
      <c r="C395" s="4" t="str">
        <f aca="false">IF(LEFT(E395,2)="S5","Spritz","Standard")</f>
        <v>Standard</v>
      </c>
      <c r="D395" s="4" t="n">
        <f aca="false">IF(RIGHT(E395,2)=".1",1,IF(RIGHT(E395,2)=".2",2,0))</f>
        <v>0</v>
      </c>
      <c r="E395" s="5" t="s">
        <v>36</v>
      </c>
      <c r="F395" s="1" t="s">
        <v>20</v>
      </c>
      <c r="G395" s="1" t="n">
        <v>178.4</v>
      </c>
      <c r="H395" s="1" t="n">
        <v>170.3</v>
      </c>
      <c r="I395" s="1" t="n">
        <v>25.02</v>
      </c>
      <c r="J395" s="1" t="n">
        <v>0.3628</v>
      </c>
      <c r="K395" s="1" t="n">
        <v>13.07</v>
      </c>
      <c r="L395" s="1" t="n">
        <v>0.02777</v>
      </c>
      <c r="M395" s="1" t="n">
        <v>-0.1683</v>
      </c>
      <c r="N395" s="1" t="n">
        <v>0.5</v>
      </c>
      <c r="O395" s="6" t="n">
        <v>6.078E-006</v>
      </c>
      <c r="P395" s="1" t="n">
        <v>0.4356</v>
      </c>
      <c r="Q395" s="1" t="n">
        <v>0.9865</v>
      </c>
      <c r="R395" s="1" t="n">
        <v>4.147</v>
      </c>
    </row>
    <row r="396" customFormat="false" ht="12.8" hidden="false" customHeight="false" outlineLevel="0" collapsed="false">
      <c r="A396" s="1" t="n">
        <v>23</v>
      </c>
      <c r="B396" s="4" t="s">
        <v>35</v>
      </c>
      <c r="C396" s="4" t="str">
        <f aca="false">IF(LEFT(E396,2)="S5","Spritz","Standard")</f>
        <v>Standard</v>
      </c>
      <c r="D396" s="4" t="n">
        <f aca="false">IF(RIGHT(E396,2)=".1",1,IF(RIGHT(E396,2)=".2",2,0))</f>
        <v>0</v>
      </c>
      <c r="E396" s="5" t="s">
        <v>36</v>
      </c>
      <c r="F396" s="1" t="s">
        <v>20</v>
      </c>
      <c r="G396" s="1" t="n">
        <v>186.2</v>
      </c>
      <c r="H396" s="1" t="n">
        <v>178.1</v>
      </c>
      <c r="I396" s="1" t="n">
        <v>25.02</v>
      </c>
      <c r="J396" s="1" t="n">
        <v>0.4177</v>
      </c>
      <c r="K396" s="1" t="n">
        <v>16.33</v>
      </c>
      <c r="L396" s="1" t="n">
        <v>0.02559</v>
      </c>
      <c r="M396" s="1" t="n">
        <v>-0.1678</v>
      </c>
      <c r="N396" s="1" t="n">
        <v>0.5</v>
      </c>
      <c r="O396" s="6" t="n">
        <v>6.998E-006</v>
      </c>
      <c r="P396" s="1" t="n">
        <v>0.5443</v>
      </c>
      <c r="Q396" s="1" t="n">
        <v>0.8269</v>
      </c>
      <c r="R396" s="1" t="n">
        <v>1.75</v>
      </c>
    </row>
    <row r="397" customFormat="false" ht="12.8" hidden="false" customHeight="false" outlineLevel="0" collapsed="false">
      <c r="A397" s="1" t="n">
        <v>24</v>
      </c>
      <c r="B397" s="4" t="s">
        <v>35</v>
      </c>
      <c r="C397" s="4" t="str">
        <f aca="false">IF(LEFT(E397,2)="S5","Spritz","Standard")</f>
        <v>Standard</v>
      </c>
      <c r="D397" s="4" t="n">
        <f aca="false">IF(RIGHT(E397,2)=".1",1,IF(RIGHT(E397,2)=".2",2,0))</f>
        <v>0</v>
      </c>
      <c r="E397" s="5" t="s">
        <v>36</v>
      </c>
      <c r="F397" s="1" t="s">
        <v>20</v>
      </c>
      <c r="G397" s="1" t="n">
        <v>193.9</v>
      </c>
      <c r="H397" s="1" t="n">
        <v>185.8</v>
      </c>
      <c r="I397" s="1" t="n">
        <v>25.01</v>
      </c>
      <c r="J397" s="1" t="n">
        <v>0.5577</v>
      </c>
      <c r="K397" s="1" t="n">
        <v>20.4</v>
      </c>
      <c r="L397" s="1" t="n">
        <v>0.02734</v>
      </c>
      <c r="M397" s="1" t="n">
        <v>-0.1658</v>
      </c>
      <c r="N397" s="1" t="n">
        <v>0.5</v>
      </c>
      <c r="O397" s="6" t="n">
        <v>9.344E-006</v>
      </c>
      <c r="P397" s="1" t="n">
        <v>0.6801</v>
      </c>
      <c r="Q397" s="1" t="n">
        <v>0.746</v>
      </c>
      <c r="R397" s="1" t="n">
        <v>0.3227</v>
      </c>
    </row>
    <row r="398" customFormat="false" ht="12.8" hidden="false" customHeight="false" outlineLevel="0" collapsed="false">
      <c r="A398" s="1" t="n">
        <v>25</v>
      </c>
      <c r="B398" s="4" t="s">
        <v>35</v>
      </c>
      <c r="C398" s="4" t="str">
        <f aca="false">IF(LEFT(E398,2)="S5","Spritz","Standard")</f>
        <v>Standard</v>
      </c>
      <c r="D398" s="4" t="n">
        <f aca="false">IF(RIGHT(E398,2)=".1",1,IF(RIGHT(E398,2)=".2",2,0))</f>
        <v>0</v>
      </c>
      <c r="E398" s="5" t="s">
        <v>36</v>
      </c>
      <c r="F398" s="1" t="s">
        <v>20</v>
      </c>
      <c r="G398" s="1" t="n">
        <v>201.6</v>
      </c>
      <c r="H398" s="1" t="n">
        <v>193.5</v>
      </c>
      <c r="I398" s="1" t="n">
        <v>25.01</v>
      </c>
      <c r="J398" s="1" t="n">
        <v>0.4821</v>
      </c>
      <c r="K398" s="1" t="n">
        <v>25.5</v>
      </c>
      <c r="L398" s="1" t="n">
        <v>0.01891</v>
      </c>
      <c r="M398" s="1" t="n">
        <v>-0.1689</v>
      </c>
      <c r="N398" s="1" t="n">
        <v>0.5</v>
      </c>
      <c r="O398" s="6" t="n">
        <v>8.077E-006</v>
      </c>
      <c r="P398" s="1" t="n">
        <v>0.8499</v>
      </c>
      <c r="Q398" s="1" t="n">
        <v>0.9701</v>
      </c>
      <c r="R398" s="1" t="n">
        <v>0.1119</v>
      </c>
    </row>
    <row r="399" customFormat="false" ht="12.8" hidden="false" customHeight="false" outlineLevel="0" collapsed="false">
      <c r="A399" s="1" t="n">
        <v>26</v>
      </c>
      <c r="B399" s="4" t="s">
        <v>35</v>
      </c>
      <c r="C399" s="4" t="str">
        <f aca="false">IF(LEFT(E399,2)="S5","Spritz","Standard")</f>
        <v>Standard</v>
      </c>
      <c r="D399" s="4" t="n">
        <f aca="false">IF(RIGHT(E399,2)=".1",1,IF(RIGHT(E399,2)=".2",2,0))</f>
        <v>0</v>
      </c>
      <c r="E399" s="5" t="s">
        <v>36</v>
      </c>
      <c r="F399" s="1" t="s">
        <v>20</v>
      </c>
      <c r="G399" s="1" t="n">
        <v>209.4</v>
      </c>
      <c r="H399" s="1" t="n">
        <v>201.3</v>
      </c>
      <c r="I399" s="1" t="n">
        <v>25.02</v>
      </c>
      <c r="J399" s="1" t="n">
        <v>0.4199</v>
      </c>
      <c r="K399" s="1" t="n">
        <v>31.86</v>
      </c>
      <c r="L399" s="1" t="n">
        <v>0.01318</v>
      </c>
      <c r="M399" s="1" t="n">
        <v>-0.1665</v>
      </c>
      <c r="N399" s="1" t="n">
        <v>0.5</v>
      </c>
      <c r="O399" s="6" t="n">
        <v>7.034E-006</v>
      </c>
      <c r="P399" s="1" t="n">
        <v>1.062</v>
      </c>
      <c r="Q399" s="1" t="n">
        <v>1.001</v>
      </c>
      <c r="R399" s="1" t="n">
        <v>1.412</v>
      </c>
    </row>
    <row r="400" customFormat="false" ht="12.8" hidden="false" customHeight="false" outlineLevel="0" collapsed="false">
      <c r="A400" s="1" t="n">
        <v>27</v>
      </c>
      <c r="B400" s="4" t="s">
        <v>35</v>
      </c>
      <c r="C400" s="4" t="str">
        <f aca="false">IF(LEFT(E400,2)="S5","Spritz","Standard")</f>
        <v>Standard</v>
      </c>
      <c r="D400" s="4" t="n">
        <f aca="false">IF(RIGHT(E400,2)=".1",1,IF(RIGHT(E400,2)=".2",2,0))</f>
        <v>0</v>
      </c>
      <c r="E400" s="5" t="s">
        <v>36</v>
      </c>
      <c r="F400" s="1" t="s">
        <v>20</v>
      </c>
      <c r="G400" s="1" t="n">
        <v>217.1</v>
      </c>
      <c r="H400" s="1" t="n">
        <v>209</v>
      </c>
      <c r="I400" s="1" t="n">
        <v>25.01</v>
      </c>
      <c r="J400" s="1" t="n">
        <v>0.6257</v>
      </c>
      <c r="K400" s="1" t="n">
        <v>39.81</v>
      </c>
      <c r="L400" s="1" t="n">
        <v>0.01572</v>
      </c>
      <c r="M400" s="1" t="n">
        <v>-0.168</v>
      </c>
      <c r="N400" s="1" t="n">
        <v>0.5</v>
      </c>
      <c r="O400" s="6" t="n">
        <v>1.048E-005</v>
      </c>
      <c r="P400" s="1" t="n">
        <v>1.327</v>
      </c>
      <c r="Q400" s="1" t="n">
        <v>1.097</v>
      </c>
      <c r="R400" s="1" t="n">
        <v>4.605</v>
      </c>
    </row>
    <row r="401" customFormat="false" ht="12.8" hidden="false" customHeight="false" outlineLevel="0" collapsed="false">
      <c r="A401" s="1" t="n">
        <v>28</v>
      </c>
      <c r="B401" s="4" t="s">
        <v>35</v>
      </c>
      <c r="C401" s="4" t="str">
        <f aca="false">IF(LEFT(E401,2)="S5","Spritz","Standard")</f>
        <v>Standard</v>
      </c>
      <c r="D401" s="4" t="n">
        <f aca="false">IF(RIGHT(E401,2)=".1",1,IF(RIGHT(E401,2)=".2",2,0))</f>
        <v>0</v>
      </c>
      <c r="E401" s="5" t="s">
        <v>36</v>
      </c>
      <c r="F401" s="1" t="s">
        <v>20</v>
      </c>
      <c r="G401" s="1" t="n">
        <v>224.9</v>
      </c>
      <c r="H401" s="1" t="n">
        <v>216.8</v>
      </c>
      <c r="I401" s="1" t="n">
        <v>25.01</v>
      </c>
      <c r="J401" s="1" t="n">
        <v>0.716</v>
      </c>
      <c r="K401" s="1" t="n">
        <v>49.75</v>
      </c>
      <c r="L401" s="1" t="n">
        <v>0.01439</v>
      </c>
      <c r="M401" s="1" t="n">
        <v>-0.1678</v>
      </c>
      <c r="N401" s="1" t="n">
        <v>0.5</v>
      </c>
      <c r="O401" s="6" t="n">
        <v>1.2E-005</v>
      </c>
      <c r="P401" s="1" t="n">
        <v>1.659</v>
      </c>
      <c r="Q401" s="1" t="n">
        <v>1.303</v>
      </c>
      <c r="R401" s="1" t="n">
        <v>3.888</v>
      </c>
    </row>
    <row r="402" customFormat="false" ht="12.8" hidden="false" customHeight="false" outlineLevel="0" collapsed="false">
      <c r="A402" s="1" t="n">
        <v>29</v>
      </c>
      <c r="B402" s="4" t="s">
        <v>35</v>
      </c>
      <c r="C402" s="4" t="str">
        <f aca="false">IF(LEFT(E402,2)="S5","Spritz","Standard")</f>
        <v>Standard</v>
      </c>
      <c r="D402" s="4" t="n">
        <f aca="false">IF(RIGHT(E402,2)=".1",1,IF(RIGHT(E402,2)=".2",2,0))</f>
        <v>0</v>
      </c>
      <c r="E402" s="5" t="s">
        <v>36</v>
      </c>
      <c r="F402" s="1" t="s">
        <v>20</v>
      </c>
      <c r="G402" s="1" t="n">
        <v>232.6</v>
      </c>
      <c r="H402" s="1" t="n">
        <v>224.5</v>
      </c>
      <c r="I402" s="1" t="n">
        <v>25.01</v>
      </c>
      <c r="J402" s="1" t="n">
        <v>1.18</v>
      </c>
      <c r="K402" s="1" t="n">
        <v>62.17</v>
      </c>
      <c r="L402" s="1" t="n">
        <v>0.01897</v>
      </c>
      <c r="M402" s="1" t="n">
        <v>-0.1666</v>
      </c>
      <c r="N402" s="1" t="n">
        <v>0.5</v>
      </c>
      <c r="O402" s="6" t="n">
        <v>1.976E-005</v>
      </c>
      <c r="P402" s="1" t="n">
        <v>2.072</v>
      </c>
      <c r="Q402" s="1" t="n">
        <v>1.521</v>
      </c>
      <c r="R402" s="1" t="n">
        <v>6.119</v>
      </c>
    </row>
    <row r="403" customFormat="false" ht="12.8" hidden="false" customHeight="false" outlineLevel="0" collapsed="false">
      <c r="A403" s="1" t="n">
        <v>30</v>
      </c>
      <c r="B403" s="4" t="s">
        <v>35</v>
      </c>
      <c r="C403" s="4" t="str">
        <f aca="false">IF(LEFT(E403,2)="S5","Spritz","Standard")</f>
        <v>Standard</v>
      </c>
      <c r="D403" s="4" t="n">
        <f aca="false">IF(RIGHT(E403,2)=".1",1,IF(RIGHT(E403,2)=".2",2,0))</f>
        <v>0</v>
      </c>
      <c r="E403" s="5" t="s">
        <v>36</v>
      </c>
      <c r="F403" s="1" t="s">
        <v>20</v>
      </c>
      <c r="G403" s="1" t="n">
        <v>240.4</v>
      </c>
      <c r="H403" s="1" t="n">
        <v>232.3</v>
      </c>
      <c r="I403" s="1" t="n">
        <v>25.01</v>
      </c>
      <c r="J403" s="1" t="n">
        <v>0.7755</v>
      </c>
      <c r="K403" s="1" t="n">
        <v>77.69</v>
      </c>
      <c r="L403" s="6" t="n">
        <v>0.009982</v>
      </c>
      <c r="M403" s="1" t="n">
        <v>-0.1675</v>
      </c>
      <c r="N403" s="1" t="n">
        <v>0.5</v>
      </c>
      <c r="O403" s="6" t="n">
        <v>1.299E-005</v>
      </c>
      <c r="P403" s="1" t="n">
        <v>2.59</v>
      </c>
      <c r="Q403" s="1" t="n">
        <v>1.024</v>
      </c>
      <c r="R403" s="1" t="n">
        <v>5.774</v>
      </c>
    </row>
    <row r="404" customFormat="false" ht="12.8" hidden="false" customHeight="false" outlineLevel="0" collapsed="false">
      <c r="A404" s="1" t="n">
        <v>31</v>
      </c>
      <c r="B404" s="4" t="s">
        <v>35</v>
      </c>
      <c r="C404" s="4" t="str">
        <f aca="false">IF(LEFT(E404,2)="S5","Spritz","Standard")</f>
        <v>Standard</v>
      </c>
      <c r="D404" s="4" t="n">
        <f aca="false">IF(RIGHT(E404,2)=".1",1,IF(RIGHT(E404,2)=".2",2,0))</f>
        <v>0</v>
      </c>
      <c r="E404" s="5" t="s">
        <v>36</v>
      </c>
      <c r="F404" s="1" t="s">
        <v>20</v>
      </c>
      <c r="G404" s="1" t="n">
        <v>248.1</v>
      </c>
      <c r="H404" s="1" t="n">
        <v>240</v>
      </c>
      <c r="I404" s="1" t="n">
        <v>25.01</v>
      </c>
      <c r="J404" s="1" t="n">
        <v>1.4</v>
      </c>
      <c r="K404" s="1" t="n">
        <v>97.08</v>
      </c>
      <c r="L404" s="1" t="n">
        <v>0.01442</v>
      </c>
      <c r="M404" s="1" t="n">
        <v>-0.166</v>
      </c>
      <c r="N404" s="1" t="n">
        <v>0.5</v>
      </c>
      <c r="O404" s="6" t="n">
        <v>2.345E-005</v>
      </c>
      <c r="P404" s="1" t="n">
        <v>3.236</v>
      </c>
      <c r="Q404" s="1" t="n">
        <v>0.6007</v>
      </c>
      <c r="R404" s="1" t="n">
        <v>3.749</v>
      </c>
    </row>
    <row r="405" customFormat="false" ht="12.8" hidden="false" customHeight="false" outlineLevel="0" collapsed="false">
      <c r="A405" s="1" t="n">
        <v>1</v>
      </c>
      <c r="B405" s="4" t="s">
        <v>35</v>
      </c>
      <c r="C405" s="4" t="str">
        <f aca="false">IF(LEFT(E405,2)="S5","Spritz","Standard")</f>
        <v>Standard</v>
      </c>
      <c r="D405" s="4" t="n">
        <v>1</v>
      </c>
      <c r="E405" s="5" t="s">
        <v>37</v>
      </c>
      <c r="F405" s="1" t="s">
        <v>20</v>
      </c>
      <c r="G405" s="1" t="n">
        <v>18.28</v>
      </c>
      <c r="H405" s="1" t="n">
        <v>7.74</v>
      </c>
      <c r="I405" s="1" t="n">
        <v>25.08</v>
      </c>
      <c r="J405" s="1" t="n">
        <v>0.783</v>
      </c>
      <c r="K405" s="1" t="n">
        <v>0.1213</v>
      </c>
      <c r="L405" s="1" t="n">
        <v>6.457</v>
      </c>
      <c r="M405" s="1" t="n">
        <v>-0.1377</v>
      </c>
      <c r="N405" s="1" t="n">
        <v>0.5</v>
      </c>
      <c r="O405" s="6" t="n">
        <v>1.312E-005</v>
      </c>
      <c r="P405" s="6" t="n">
        <v>0.004042</v>
      </c>
      <c r="Q405" s="1" t="n">
        <v>0.9927</v>
      </c>
      <c r="R405" s="1" t="n">
        <v>3.99</v>
      </c>
    </row>
    <row r="406" customFormat="false" ht="12.8" hidden="false" customHeight="false" outlineLevel="0" collapsed="false">
      <c r="A406" s="1" t="n">
        <v>2</v>
      </c>
      <c r="B406" s="4" t="s">
        <v>35</v>
      </c>
      <c r="C406" s="4" t="str">
        <f aca="false">IF(LEFT(E406,2)="S5","Spritz","Standard")</f>
        <v>Standard</v>
      </c>
      <c r="D406" s="4" t="n">
        <v>1</v>
      </c>
      <c r="E406" s="5" t="s">
        <v>37</v>
      </c>
      <c r="F406" s="1" t="s">
        <v>20</v>
      </c>
      <c r="G406" s="1" t="n">
        <v>26.03</v>
      </c>
      <c r="H406" s="1" t="n">
        <v>15.49</v>
      </c>
      <c r="I406" s="1" t="n">
        <v>25.08</v>
      </c>
      <c r="J406" s="1" t="n">
        <v>0.7762</v>
      </c>
      <c r="K406" s="1" t="n">
        <v>0.1515</v>
      </c>
      <c r="L406" s="1" t="n">
        <v>5.122</v>
      </c>
      <c r="M406" s="1" t="n">
        <v>-0.1385</v>
      </c>
      <c r="N406" s="1" t="n">
        <v>0.5</v>
      </c>
      <c r="O406" s="6" t="n">
        <v>1.3E-005</v>
      </c>
      <c r="P406" s="6" t="n">
        <v>0.005052</v>
      </c>
      <c r="Q406" s="1" t="n">
        <v>0.9945</v>
      </c>
      <c r="R406" s="1" t="n">
        <v>4.026</v>
      </c>
    </row>
    <row r="407" customFormat="false" ht="12.8" hidden="false" customHeight="false" outlineLevel="0" collapsed="false">
      <c r="A407" s="1" t="n">
        <v>3</v>
      </c>
      <c r="B407" s="4" t="s">
        <v>35</v>
      </c>
      <c r="C407" s="4" t="str">
        <f aca="false">IF(LEFT(E407,2)="S5","Spritz","Standard")</f>
        <v>Standard</v>
      </c>
      <c r="D407" s="4" t="n">
        <v>1</v>
      </c>
      <c r="E407" s="5" t="s">
        <v>37</v>
      </c>
      <c r="F407" s="1" t="s">
        <v>20</v>
      </c>
      <c r="G407" s="1" t="n">
        <v>33.77</v>
      </c>
      <c r="H407" s="1" t="n">
        <v>23.22</v>
      </c>
      <c r="I407" s="1" t="n">
        <v>25.08</v>
      </c>
      <c r="J407" s="1" t="n">
        <v>0.8236</v>
      </c>
      <c r="K407" s="1" t="n">
        <v>0.1894</v>
      </c>
      <c r="L407" s="1" t="n">
        <v>4.349</v>
      </c>
      <c r="M407" s="1" t="n">
        <v>-0.1383</v>
      </c>
      <c r="N407" s="1" t="n">
        <v>0.5</v>
      </c>
      <c r="O407" s="6" t="n">
        <v>1.38E-005</v>
      </c>
      <c r="P407" s="6" t="n">
        <v>0.006312</v>
      </c>
      <c r="Q407" s="1" t="n">
        <v>0.987</v>
      </c>
      <c r="R407" s="1" t="n">
        <v>4.071</v>
      </c>
    </row>
    <row r="408" customFormat="false" ht="12.8" hidden="false" customHeight="false" outlineLevel="0" collapsed="false">
      <c r="A408" s="1" t="n">
        <v>4</v>
      </c>
      <c r="B408" s="4" t="s">
        <v>35</v>
      </c>
      <c r="C408" s="4" t="str">
        <f aca="false">IF(LEFT(E408,2)="S5","Spritz","Standard")</f>
        <v>Standard</v>
      </c>
      <c r="D408" s="4" t="n">
        <v>1</v>
      </c>
      <c r="E408" s="5" t="s">
        <v>37</v>
      </c>
      <c r="F408" s="1" t="s">
        <v>20</v>
      </c>
      <c r="G408" s="1" t="n">
        <v>41.51</v>
      </c>
      <c r="H408" s="1" t="n">
        <v>30.97</v>
      </c>
      <c r="I408" s="1" t="n">
        <v>25.07</v>
      </c>
      <c r="J408" s="1" t="n">
        <v>0.8395</v>
      </c>
      <c r="K408" s="1" t="n">
        <v>0.2366</v>
      </c>
      <c r="L408" s="1" t="n">
        <v>3.547</v>
      </c>
      <c r="M408" s="1" t="n">
        <v>-0.1388</v>
      </c>
      <c r="N408" s="1" t="n">
        <v>0.5</v>
      </c>
      <c r="O408" s="6" t="n">
        <v>1.406E-005</v>
      </c>
      <c r="P408" s="6" t="n">
        <v>0.007888</v>
      </c>
      <c r="Q408" s="1" t="n">
        <v>0.9434</v>
      </c>
      <c r="R408" s="1" t="n">
        <v>4.128</v>
      </c>
    </row>
    <row r="409" customFormat="false" ht="12.8" hidden="false" customHeight="false" outlineLevel="0" collapsed="false">
      <c r="A409" s="1" t="n">
        <v>5</v>
      </c>
      <c r="B409" s="4" t="s">
        <v>35</v>
      </c>
      <c r="C409" s="4" t="str">
        <f aca="false">IF(LEFT(E409,2)="S5","Spritz","Standard")</f>
        <v>Standard</v>
      </c>
      <c r="D409" s="4" t="n">
        <v>1</v>
      </c>
      <c r="E409" s="5" t="s">
        <v>37</v>
      </c>
      <c r="F409" s="1" t="s">
        <v>20</v>
      </c>
      <c r="G409" s="1" t="n">
        <v>49.25</v>
      </c>
      <c r="H409" s="1" t="n">
        <v>38.71</v>
      </c>
      <c r="I409" s="1" t="n">
        <v>25.07</v>
      </c>
      <c r="J409" s="1" t="n">
        <v>0.8939</v>
      </c>
      <c r="K409" s="1" t="n">
        <v>0.2957</v>
      </c>
      <c r="L409" s="1" t="n">
        <v>3.023</v>
      </c>
      <c r="M409" s="1" t="n">
        <v>-0.1396</v>
      </c>
      <c r="N409" s="1" t="n">
        <v>0.5</v>
      </c>
      <c r="O409" s="6" t="n">
        <v>1.497E-005</v>
      </c>
      <c r="P409" s="6" t="n">
        <v>0.009857</v>
      </c>
      <c r="Q409" s="1" t="n">
        <v>1.022</v>
      </c>
      <c r="R409" s="1" t="n">
        <v>4.198</v>
      </c>
    </row>
    <row r="410" customFormat="false" ht="12.8" hidden="false" customHeight="false" outlineLevel="0" collapsed="false">
      <c r="A410" s="1" t="n">
        <v>6</v>
      </c>
      <c r="B410" s="4" t="s">
        <v>35</v>
      </c>
      <c r="C410" s="4" t="str">
        <f aca="false">IF(LEFT(E410,2)="S5","Spritz","Standard")</f>
        <v>Standard</v>
      </c>
      <c r="D410" s="4" t="n">
        <v>1</v>
      </c>
      <c r="E410" s="5" t="s">
        <v>37</v>
      </c>
      <c r="F410" s="1" t="s">
        <v>20</v>
      </c>
      <c r="G410" s="1" t="n">
        <v>56.99</v>
      </c>
      <c r="H410" s="1" t="n">
        <v>46.45</v>
      </c>
      <c r="I410" s="1" t="n">
        <v>25.06</v>
      </c>
      <c r="J410" s="1" t="n">
        <v>0.9089</v>
      </c>
      <c r="K410" s="1" t="n">
        <v>0.3695</v>
      </c>
      <c r="L410" s="1" t="n">
        <v>2.46</v>
      </c>
      <c r="M410" s="1" t="n">
        <v>-0.1395</v>
      </c>
      <c r="N410" s="1" t="n">
        <v>0.5</v>
      </c>
      <c r="O410" s="6" t="n">
        <v>1.523E-005</v>
      </c>
      <c r="P410" s="1" t="n">
        <v>0.01232</v>
      </c>
      <c r="Q410" s="1" t="n">
        <v>0.9449</v>
      </c>
      <c r="R410" s="1" t="n">
        <v>4.286</v>
      </c>
    </row>
    <row r="411" customFormat="false" ht="12.8" hidden="false" customHeight="false" outlineLevel="0" collapsed="false">
      <c r="A411" s="1" t="n">
        <v>7</v>
      </c>
      <c r="B411" s="4" t="s">
        <v>35</v>
      </c>
      <c r="C411" s="4" t="str">
        <f aca="false">IF(LEFT(E411,2)="S5","Spritz","Standard")</f>
        <v>Standard</v>
      </c>
      <c r="D411" s="4" t="n">
        <v>1</v>
      </c>
      <c r="E411" s="5" t="s">
        <v>37</v>
      </c>
      <c r="F411" s="1" t="s">
        <v>20</v>
      </c>
      <c r="G411" s="1" t="n">
        <v>64.74</v>
      </c>
      <c r="H411" s="1" t="n">
        <v>54.2</v>
      </c>
      <c r="I411" s="1" t="n">
        <v>25.05</v>
      </c>
      <c r="J411" s="1" t="n">
        <v>0.8886</v>
      </c>
      <c r="K411" s="1" t="n">
        <v>0.4618</v>
      </c>
      <c r="L411" s="1" t="n">
        <v>1.924</v>
      </c>
      <c r="M411" s="1" t="n">
        <v>-0.1406</v>
      </c>
      <c r="N411" s="1" t="n">
        <v>0.5</v>
      </c>
      <c r="O411" s="6" t="n">
        <v>1.489E-005</v>
      </c>
      <c r="P411" s="1" t="n">
        <v>0.01539</v>
      </c>
      <c r="Q411" s="1" t="n">
        <v>1.063</v>
      </c>
      <c r="R411" s="1" t="n">
        <v>4.396</v>
      </c>
    </row>
    <row r="412" customFormat="false" ht="12.8" hidden="false" customHeight="false" outlineLevel="0" collapsed="false">
      <c r="A412" s="1" t="n">
        <v>8</v>
      </c>
      <c r="B412" s="4" t="s">
        <v>35</v>
      </c>
      <c r="C412" s="4" t="str">
        <f aca="false">IF(LEFT(E412,2)="S5","Spritz","Standard")</f>
        <v>Standard</v>
      </c>
      <c r="D412" s="4" t="n">
        <v>1</v>
      </c>
      <c r="E412" s="5" t="s">
        <v>37</v>
      </c>
      <c r="F412" s="1" t="s">
        <v>20</v>
      </c>
      <c r="G412" s="1" t="n">
        <v>72.48</v>
      </c>
      <c r="H412" s="1" t="n">
        <v>61.94</v>
      </c>
      <c r="I412" s="1" t="n">
        <v>25.05</v>
      </c>
      <c r="J412" s="1" t="n">
        <v>0.9819</v>
      </c>
      <c r="K412" s="1" t="n">
        <v>0.577</v>
      </c>
      <c r="L412" s="1" t="n">
        <v>1.702</v>
      </c>
      <c r="M412" s="1" t="n">
        <v>-0.1407</v>
      </c>
      <c r="N412" s="1" t="n">
        <v>0.5</v>
      </c>
      <c r="O412" s="6" t="n">
        <v>1.645E-005</v>
      </c>
      <c r="P412" s="1" t="n">
        <v>0.01923</v>
      </c>
      <c r="Q412" s="1" t="n">
        <v>1.053</v>
      </c>
      <c r="R412" s="1" t="n">
        <v>4.533</v>
      </c>
    </row>
    <row r="413" customFormat="false" ht="12.8" hidden="false" customHeight="false" outlineLevel="0" collapsed="false">
      <c r="A413" s="1" t="n">
        <v>9</v>
      </c>
      <c r="B413" s="4" t="s">
        <v>35</v>
      </c>
      <c r="C413" s="4" t="str">
        <f aca="false">IF(LEFT(E413,2)="S5","Spritz","Standard")</f>
        <v>Standard</v>
      </c>
      <c r="D413" s="4" t="n">
        <v>1</v>
      </c>
      <c r="E413" s="5" t="s">
        <v>37</v>
      </c>
      <c r="F413" s="1" t="s">
        <v>20</v>
      </c>
      <c r="G413" s="1" t="n">
        <v>80.22</v>
      </c>
      <c r="H413" s="1" t="n">
        <v>69.68</v>
      </c>
      <c r="I413" s="1" t="n">
        <v>25.04</v>
      </c>
      <c r="J413" s="1" t="n">
        <v>1.021</v>
      </c>
      <c r="K413" s="1" t="n">
        <v>0.721</v>
      </c>
      <c r="L413" s="1" t="n">
        <v>1.416</v>
      </c>
      <c r="M413" s="1" t="n">
        <v>-0.1415</v>
      </c>
      <c r="N413" s="1" t="n">
        <v>0.5</v>
      </c>
      <c r="O413" s="6" t="n">
        <v>1.71E-005</v>
      </c>
      <c r="P413" s="1" t="n">
        <v>0.02404</v>
      </c>
      <c r="Q413" s="1" t="n">
        <v>1.05</v>
      </c>
      <c r="R413" s="1" t="n">
        <v>4.705</v>
      </c>
    </row>
    <row r="414" customFormat="false" ht="12.8" hidden="false" customHeight="false" outlineLevel="0" collapsed="false">
      <c r="A414" s="1" t="n">
        <v>10</v>
      </c>
      <c r="B414" s="4" t="s">
        <v>35</v>
      </c>
      <c r="C414" s="4" t="str">
        <f aca="false">IF(LEFT(E414,2)="S5","Spritz","Standard")</f>
        <v>Standard</v>
      </c>
      <c r="D414" s="4" t="n">
        <v>1</v>
      </c>
      <c r="E414" s="5" t="s">
        <v>37</v>
      </c>
      <c r="F414" s="1" t="s">
        <v>20</v>
      </c>
      <c r="G414" s="1" t="n">
        <v>87.96</v>
      </c>
      <c r="H414" s="1" t="n">
        <v>77.42</v>
      </c>
      <c r="I414" s="1" t="n">
        <v>25.04</v>
      </c>
      <c r="J414" s="1" t="n">
        <v>1.059</v>
      </c>
      <c r="K414" s="1" t="n">
        <v>0.9011</v>
      </c>
      <c r="L414" s="1" t="n">
        <v>1.175</v>
      </c>
      <c r="M414" s="1" t="n">
        <v>-0.1421</v>
      </c>
      <c r="N414" s="1" t="n">
        <v>0.5</v>
      </c>
      <c r="O414" s="6" t="n">
        <v>1.773E-005</v>
      </c>
      <c r="P414" s="1" t="n">
        <v>0.03004</v>
      </c>
      <c r="Q414" s="1" t="n">
        <v>1.017</v>
      </c>
      <c r="R414" s="1" t="n">
        <v>4.92</v>
      </c>
    </row>
    <row r="415" customFormat="false" ht="12.8" hidden="false" customHeight="false" outlineLevel="0" collapsed="false">
      <c r="A415" s="1" t="n">
        <v>11</v>
      </c>
      <c r="B415" s="4" t="s">
        <v>35</v>
      </c>
      <c r="C415" s="4" t="str">
        <f aca="false">IF(LEFT(E415,2)="S5","Spritz","Standard")</f>
        <v>Standard</v>
      </c>
      <c r="D415" s="4" t="n">
        <v>1</v>
      </c>
      <c r="E415" s="5" t="s">
        <v>37</v>
      </c>
      <c r="F415" s="1" t="s">
        <v>20</v>
      </c>
      <c r="G415" s="1" t="n">
        <v>95.7</v>
      </c>
      <c r="H415" s="1" t="n">
        <v>85.16</v>
      </c>
      <c r="I415" s="1" t="n">
        <v>25.04</v>
      </c>
      <c r="J415" s="1" t="n">
        <v>0.9798</v>
      </c>
      <c r="K415" s="1" t="n">
        <v>1.126</v>
      </c>
      <c r="L415" s="1" t="n">
        <v>0.8702</v>
      </c>
      <c r="M415" s="1" t="n">
        <v>-0.1429</v>
      </c>
      <c r="N415" s="1" t="n">
        <v>0.5</v>
      </c>
      <c r="O415" s="6" t="n">
        <v>1.641E-005</v>
      </c>
      <c r="P415" s="1" t="n">
        <v>0.03753</v>
      </c>
      <c r="Q415" s="1" t="n">
        <v>1.195</v>
      </c>
      <c r="R415" s="1" t="n">
        <v>5.188</v>
      </c>
    </row>
    <row r="416" customFormat="false" ht="12.8" hidden="false" customHeight="false" outlineLevel="0" collapsed="false">
      <c r="A416" s="1" t="n">
        <v>12</v>
      </c>
      <c r="B416" s="4" t="s">
        <v>35</v>
      </c>
      <c r="C416" s="4" t="str">
        <f aca="false">IF(LEFT(E416,2)="S5","Spritz","Standard")</f>
        <v>Standard</v>
      </c>
      <c r="D416" s="4" t="n">
        <v>1</v>
      </c>
      <c r="E416" s="5" t="s">
        <v>37</v>
      </c>
      <c r="F416" s="1" t="s">
        <v>20</v>
      </c>
      <c r="G416" s="1" t="n">
        <v>103.4</v>
      </c>
      <c r="H416" s="1" t="n">
        <v>92.91</v>
      </c>
      <c r="I416" s="1" t="n">
        <v>25.03</v>
      </c>
      <c r="J416" s="1" t="n">
        <v>0.9706</v>
      </c>
      <c r="K416" s="1" t="n">
        <v>1.407</v>
      </c>
      <c r="L416" s="1" t="n">
        <v>0.6898</v>
      </c>
      <c r="M416" s="1" t="n">
        <v>-0.1435</v>
      </c>
      <c r="N416" s="1" t="n">
        <v>0.5</v>
      </c>
      <c r="O416" s="6" t="n">
        <v>1.626E-005</v>
      </c>
      <c r="P416" s="1" t="n">
        <v>0.04691</v>
      </c>
      <c r="Q416" s="1" t="n">
        <v>1.004</v>
      </c>
      <c r="R416" s="1" t="n">
        <v>5.523</v>
      </c>
    </row>
    <row r="417" customFormat="false" ht="12.8" hidden="false" customHeight="false" outlineLevel="0" collapsed="false">
      <c r="A417" s="1" t="n">
        <v>13</v>
      </c>
      <c r="B417" s="4" t="s">
        <v>35</v>
      </c>
      <c r="C417" s="4" t="str">
        <f aca="false">IF(LEFT(E417,2)="S5","Spritz","Standard")</f>
        <v>Standard</v>
      </c>
      <c r="D417" s="4" t="n">
        <v>1</v>
      </c>
      <c r="E417" s="5" t="s">
        <v>37</v>
      </c>
      <c r="F417" s="1" t="s">
        <v>20</v>
      </c>
      <c r="G417" s="1" t="n">
        <v>111.2</v>
      </c>
      <c r="H417" s="1" t="n">
        <v>100.6</v>
      </c>
      <c r="I417" s="1" t="n">
        <v>25.03</v>
      </c>
      <c r="J417" s="1" t="n">
        <v>0.8791</v>
      </c>
      <c r="K417" s="1" t="n">
        <v>1.758</v>
      </c>
      <c r="L417" s="1" t="n">
        <v>0.5</v>
      </c>
      <c r="M417" s="1" t="n">
        <v>-0.1443</v>
      </c>
      <c r="N417" s="1" t="n">
        <v>0.5</v>
      </c>
      <c r="O417" s="6" t="n">
        <v>1.473E-005</v>
      </c>
      <c r="P417" s="1" t="n">
        <v>0.05861</v>
      </c>
      <c r="Q417" s="1" t="n">
        <v>1.078</v>
      </c>
      <c r="R417" s="1" t="n">
        <v>5.941</v>
      </c>
    </row>
    <row r="418" customFormat="false" ht="12.8" hidden="false" customHeight="false" outlineLevel="0" collapsed="false">
      <c r="A418" s="1" t="n">
        <v>14</v>
      </c>
      <c r="B418" s="4" t="s">
        <v>35</v>
      </c>
      <c r="C418" s="4" t="str">
        <f aca="false">IF(LEFT(E418,2)="S5","Spritz","Standard")</f>
        <v>Standard</v>
      </c>
      <c r="D418" s="4" t="n">
        <v>1</v>
      </c>
      <c r="E418" s="5" t="s">
        <v>37</v>
      </c>
      <c r="F418" s="1" t="s">
        <v>20</v>
      </c>
      <c r="G418" s="1" t="n">
        <v>118.9</v>
      </c>
      <c r="H418" s="1" t="n">
        <v>108.4</v>
      </c>
      <c r="I418" s="1" t="n">
        <v>25.03</v>
      </c>
      <c r="J418" s="1" t="n">
        <v>0.8944</v>
      </c>
      <c r="K418" s="1" t="n">
        <v>2.197</v>
      </c>
      <c r="L418" s="1" t="n">
        <v>0.4071</v>
      </c>
      <c r="M418" s="1" t="n">
        <v>-0.1438</v>
      </c>
      <c r="N418" s="1" t="n">
        <v>0.5</v>
      </c>
      <c r="O418" s="6" t="n">
        <v>1.498E-005</v>
      </c>
      <c r="P418" s="1" t="n">
        <v>0.07324</v>
      </c>
      <c r="Q418" s="1" t="n">
        <v>1.442</v>
      </c>
      <c r="R418" s="1" t="n">
        <v>0.1812</v>
      </c>
    </row>
    <row r="419" customFormat="false" ht="12.8" hidden="false" customHeight="false" outlineLevel="0" collapsed="false">
      <c r="A419" s="1" t="n">
        <v>15</v>
      </c>
      <c r="B419" s="4" t="s">
        <v>35</v>
      </c>
      <c r="C419" s="4" t="str">
        <f aca="false">IF(LEFT(E419,2)="S5","Spritz","Standard")</f>
        <v>Standard</v>
      </c>
      <c r="D419" s="4" t="n">
        <v>1</v>
      </c>
      <c r="E419" s="5" t="s">
        <v>37</v>
      </c>
      <c r="F419" s="1" t="s">
        <v>20</v>
      </c>
      <c r="G419" s="1" t="n">
        <v>126.7</v>
      </c>
      <c r="H419" s="1" t="n">
        <v>116.1</v>
      </c>
      <c r="I419" s="1" t="n">
        <v>25.02</v>
      </c>
      <c r="J419" s="1" t="n">
        <v>0.9646</v>
      </c>
      <c r="K419" s="1" t="n">
        <v>2.746</v>
      </c>
      <c r="L419" s="1" t="n">
        <v>0.3513</v>
      </c>
      <c r="M419" s="1" t="n">
        <v>-0.1432</v>
      </c>
      <c r="N419" s="1" t="n">
        <v>0.5</v>
      </c>
      <c r="O419" s="6" t="n">
        <v>1.616E-005</v>
      </c>
      <c r="P419" s="1" t="n">
        <v>0.09153</v>
      </c>
      <c r="Q419" s="1" t="n">
        <v>1.118</v>
      </c>
      <c r="R419" s="1" t="n">
        <v>0.8351</v>
      </c>
    </row>
    <row r="420" customFormat="false" ht="12.8" hidden="false" customHeight="false" outlineLevel="0" collapsed="false">
      <c r="A420" s="1" t="n">
        <v>16</v>
      </c>
      <c r="B420" s="4" t="s">
        <v>35</v>
      </c>
      <c r="C420" s="4" t="str">
        <f aca="false">IF(LEFT(E420,2)="S5","Spritz","Standard")</f>
        <v>Standard</v>
      </c>
      <c r="D420" s="4" t="n">
        <v>1</v>
      </c>
      <c r="E420" s="5" t="s">
        <v>37</v>
      </c>
      <c r="F420" s="1" t="s">
        <v>20</v>
      </c>
      <c r="G420" s="1" t="n">
        <v>134.4</v>
      </c>
      <c r="H420" s="1" t="n">
        <v>123.9</v>
      </c>
      <c r="I420" s="1" t="n">
        <v>25.03</v>
      </c>
      <c r="J420" s="1" t="n">
        <v>0.9354</v>
      </c>
      <c r="K420" s="1" t="n">
        <v>3.431</v>
      </c>
      <c r="L420" s="1" t="n">
        <v>0.2726</v>
      </c>
      <c r="M420" s="1" t="n">
        <v>-0.1431</v>
      </c>
      <c r="N420" s="1" t="n">
        <v>0.5</v>
      </c>
      <c r="O420" s="6" t="n">
        <v>1.567E-005</v>
      </c>
      <c r="P420" s="1" t="n">
        <v>0.1144</v>
      </c>
      <c r="Q420" s="1" t="n">
        <v>1.04</v>
      </c>
      <c r="R420" s="1" t="n">
        <v>1.652</v>
      </c>
    </row>
    <row r="421" customFormat="false" ht="12.8" hidden="false" customHeight="false" outlineLevel="0" collapsed="false">
      <c r="A421" s="1" t="n">
        <v>17</v>
      </c>
      <c r="B421" s="4" t="s">
        <v>35</v>
      </c>
      <c r="C421" s="4" t="str">
        <f aca="false">IF(LEFT(E421,2)="S5","Spritz","Standard")</f>
        <v>Standard</v>
      </c>
      <c r="D421" s="4" t="n">
        <v>1</v>
      </c>
      <c r="E421" s="5" t="s">
        <v>37</v>
      </c>
      <c r="F421" s="1" t="s">
        <v>20</v>
      </c>
      <c r="G421" s="1" t="n">
        <v>142.2</v>
      </c>
      <c r="H421" s="1" t="n">
        <v>131.6</v>
      </c>
      <c r="I421" s="1" t="n">
        <v>25.02</v>
      </c>
      <c r="J421" s="1" t="n">
        <v>1.125</v>
      </c>
      <c r="K421" s="1" t="n">
        <v>4.288</v>
      </c>
      <c r="L421" s="1" t="n">
        <v>0.2624</v>
      </c>
      <c r="M421" s="1" t="n">
        <v>-0.1439</v>
      </c>
      <c r="N421" s="1" t="n">
        <v>0.5</v>
      </c>
      <c r="O421" s="6" t="n">
        <v>1.885E-005</v>
      </c>
      <c r="P421" s="1" t="n">
        <v>0.1429</v>
      </c>
      <c r="Q421" s="1" t="n">
        <v>1.203</v>
      </c>
      <c r="R421" s="1" t="n">
        <v>2.673</v>
      </c>
    </row>
    <row r="422" customFormat="false" ht="12.8" hidden="false" customHeight="false" outlineLevel="0" collapsed="false">
      <c r="A422" s="1" t="n">
        <v>18</v>
      </c>
      <c r="B422" s="4" t="s">
        <v>35</v>
      </c>
      <c r="C422" s="4" t="str">
        <f aca="false">IF(LEFT(E422,2)="S5","Spritz","Standard")</f>
        <v>Standard</v>
      </c>
      <c r="D422" s="4" t="n">
        <v>1</v>
      </c>
      <c r="E422" s="5" t="s">
        <v>37</v>
      </c>
      <c r="F422" s="1" t="s">
        <v>20</v>
      </c>
      <c r="G422" s="1" t="n">
        <v>149.9</v>
      </c>
      <c r="H422" s="1" t="n">
        <v>139.4</v>
      </c>
      <c r="I422" s="1" t="n">
        <v>25.02</v>
      </c>
      <c r="J422" s="1" t="n">
        <v>1.238</v>
      </c>
      <c r="K422" s="1" t="n">
        <v>5.358</v>
      </c>
      <c r="L422" s="1" t="n">
        <v>0.2311</v>
      </c>
      <c r="M422" s="1" t="n">
        <v>-0.1446</v>
      </c>
      <c r="N422" s="1" t="n">
        <v>0.5</v>
      </c>
      <c r="O422" s="6" t="n">
        <v>2.074E-005</v>
      </c>
      <c r="P422" s="1" t="n">
        <v>0.1786</v>
      </c>
      <c r="Q422" s="1" t="n">
        <v>0.8432</v>
      </c>
      <c r="R422" s="1" t="n">
        <v>3.948</v>
      </c>
    </row>
    <row r="423" customFormat="false" ht="12.8" hidden="false" customHeight="false" outlineLevel="0" collapsed="false">
      <c r="A423" s="1" t="n">
        <v>19</v>
      </c>
      <c r="B423" s="4" t="s">
        <v>35</v>
      </c>
      <c r="C423" s="4" t="str">
        <f aca="false">IF(LEFT(E423,2)="S5","Spritz","Standard")</f>
        <v>Standard</v>
      </c>
      <c r="D423" s="4" t="n">
        <v>1</v>
      </c>
      <c r="E423" s="5" t="s">
        <v>37</v>
      </c>
      <c r="F423" s="1" t="s">
        <v>20</v>
      </c>
      <c r="G423" s="1" t="n">
        <v>157.6</v>
      </c>
      <c r="H423" s="1" t="n">
        <v>147.1</v>
      </c>
      <c r="I423" s="1" t="n">
        <v>25.02</v>
      </c>
      <c r="J423" s="1" t="n">
        <v>1.118</v>
      </c>
      <c r="K423" s="1" t="n">
        <v>6.695</v>
      </c>
      <c r="L423" s="1" t="n">
        <v>0.167</v>
      </c>
      <c r="M423" s="1" t="n">
        <v>-0.1459</v>
      </c>
      <c r="N423" s="1" t="n">
        <v>0.5</v>
      </c>
      <c r="O423" s="6" t="n">
        <v>1.873E-005</v>
      </c>
      <c r="P423" s="1" t="n">
        <v>0.2232</v>
      </c>
      <c r="Q423" s="1" t="n">
        <v>1.067</v>
      </c>
      <c r="R423" s="1" t="n">
        <v>5.542</v>
      </c>
    </row>
    <row r="424" customFormat="false" ht="12.8" hidden="false" customHeight="false" outlineLevel="0" collapsed="false">
      <c r="A424" s="1" t="n">
        <v>20</v>
      </c>
      <c r="B424" s="4" t="s">
        <v>35</v>
      </c>
      <c r="C424" s="4" t="str">
        <f aca="false">IF(LEFT(E424,2)="S5","Spritz","Standard")</f>
        <v>Standard</v>
      </c>
      <c r="D424" s="4" t="n">
        <v>1</v>
      </c>
      <c r="E424" s="5" t="s">
        <v>37</v>
      </c>
      <c r="F424" s="1" t="s">
        <v>20</v>
      </c>
      <c r="G424" s="1" t="n">
        <v>165.4</v>
      </c>
      <c r="H424" s="1" t="n">
        <v>154.8</v>
      </c>
      <c r="I424" s="1" t="n">
        <v>25.02</v>
      </c>
      <c r="J424" s="1" t="n">
        <v>1.229</v>
      </c>
      <c r="K424" s="1" t="n">
        <v>8.367</v>
      </c>
      <c r="L424" s="1" t="n">
        <v>0.1469</v>
      </c>
      <c r="M424" s="1" t="n">
        <v>-0.1445</v>
      </c>
      <c r="N424" s="1" t="n">
        <v>0.5</v>
      </c>
      <c r="O424" s="6" t="n">
        <v>2.058E-005</v>
      </c>
      <c r="P424" s="1" t="n">
        <v>0.2789</v>
      </c>
      <c r="Q424" s="1" t="n">
        <v>1.081</v>
      </c>
      <c r="R424" s="1" t="n">
        <v>1.252</v>
      </c>
    </row>
    <row r="425" customFormat="false" ht="12.8" hidden="false" customHeight="false" outlineLevel="0" collapsed="false">
      <c r="A425" s="1" t="n">
        <v>21</v>
      </c>
      <c r="B425" s="4" t="s">
        <v>35</v>
      </c>
      <c r="C425" s="4" t="str">
        <f aca="false">IF(LEFT(E425,2)="S5","Spritz","Standard")</f>
        <v>Standard</v>
      </c>
      <c r="D425" s="4" t="n">
        <v>1</v>
      </c>
      <c r="E425" s="5" t="s">
        <v>37</v>
      </c>
      <c r="F425" s="1" t="s">
        <v>20</v>
      </c>
      <c r="G425" s="1" t="n">
        <v>173.1</v>
      </c>
      <c r="H425" s="1" t="n">
        <v>162.6</v>
      </c>
      <c r="I425" s="1" t="n">
        <v>25.02</v>
      </c>
      <c r="J425" s="1" t="n">
        <v>1.2</v>
      </c>
      <c r="K425" s="1" t="n">
        <v>10.46</v>
      </c>
      <c r="L425" s="1" t="n">
        <v>0.1148</v>
      </c>
      <c r="M425" s="1" t="n">
        <v>-0.1429</v>
      </c>
      <c r="N425" s="1" t="n">
        <v>0.5</v>
      </c>
      <c r="O425" s="6" t="n">
        <v>2.01E-005</v>
      </c>
      <c r="P425" s="1" t="n">
        <v>0.3485</v>
      </c>
      <c r="Q425" s="1" t="n">
        <v>1.184</v>
      </c>
      <c r="R425" s="1" t="n">
        <v>3.74</v>
      </c>
    </row>
    <row r="426" customFormat="false" ht="12.8" hidden="false" customHeight="false" outlineLevel="0" collapsed="false">
      <c r="A426" s="1" t="n">
        <v>22</v>
      </c>
      <c r="B426" s="4" t="s">
        <v>35</v>
      </c>
      <c r="C426" s="4" t="str">
        <f aca="false">IF(LEFT(E426,2)="S5","Spritz","Standard")</f>
        <v>Standard</v>
      </c>
      <c r="D426" s="4" t="n">
        <v>1</v>
      </c>
      <c r="E426" s="5" t="s">
        <v>37</v>
      </c>
      <c r="F426" s="1" t="s">
        <v>20</v>
      </c>
      <c r="G426" s="1" t="n">
        <v>180.9</v>
      </c>
      <c r="H426" s="1" t="n">
        <v>170.3</v>
      </c>
      <c r="I426" s="1" t="n">
        <v>25.02</v>
      </c>
      <c r="J426" s="1" t="n">
        <v>1.445</v>
      </c>
      <c r="K426" s="1" t="n">
        <v>13.07</v>
      </c>
      <c r="L426" s="1" t="n">
        <v>0.1106</v>
      </c>
      <c r="M426" s="1" t="n">
        <v>-0.143</v>
      </c>
      <c r="N426" s="1" t="n">
        <v>0.5</v>
      </c>
      <c r="O426" s="6" t="n">
        <v>2.421E-005</v>
      </c>
      <c r="P426" s="1" t="n">
        <v>0.4356</v>
      </c>
      <c r="Q426" s="1" t="n">
        <v>1.147</v>
      </c>
      <c r="R426" s="1" t="n">
        <v>0.5689</v>
      </c>
    </row>
    <row r="427" customFormat="false" ht="12.8" hidden="false" customHeight="false" outlineLevel="0" collapsed="false">
      <c r="A427" s="1" t="n">
        <v>23</v>
      </c>
      <c r="B427" s="4" t="s">
        <v>35</v>
      </c>
      <c r="C427" s="4" t="str">
        <f aca="false">IF(LEFT(E427,2)="S5","Spritz","Standard")</f>
        <v>Standard</v>
      </c>
      <c r="D427" s="4" t="n">
        <v>1</v>
      </c>
      <c r="E427" s="5" t="s">
        <v>37</v>
      </c>
      <c r="F427" s="1" t="s">
        <v>20</v>
      </c>
      <c r="G427" s="1" t="n">
        <v>188.6</v>
      </c>
      <c r="H427" s="1" t="n">
        <v>178.1</v>
      </c>
      <c r="I427" s="1" t="n">
        <v>25.01</v>
      </c>
      <c r="J427" s="1" t="n">
        <v>2.034</v>
      </c>
      <c r="K427" s="1" t="n">
        <v>16.33</v>
      </c>
      <c r="L427" s="1" t="n">
        <v>0.1246</v>
      </c>
      <c r="M427" s="1" t="n">
        <v>-0.1413</v>
      </c>
      <c r="N427" s="1" t="n">
        <v>0.5</v>
      </c>
      <c r="O427" s="6" t="n">
        <v>3.407E-005</v>
      </c>
      <c r="P427" s="1" t="n">
        <v>0.5443</v>
      </c>
      <c r="Q427" s="1" t="n">
        <v>1.104</v>
      </c>
      <c r="R427" s="1" t="n">
        <v>4.455</v>
      </c>
    </row>
    <row r="428" customFormat="false" ht="12.8" hidden="false" customHeight="false" outlineLevel="0" collapsed="false">
      <c r="A428" s="1" t="n">
        <v>24</v>
      </c>
      <c r="B428" s="4" t="s">
        <v>35</v>
      </c>
      <c r="C428" s="4" t="str">
        <f aca="false">IF(LEFT(E428,2)="S5","Spritz","Standard")</f>
        <v>Standard</v>
      </c>
      <c r="D428" s="4" t="n">
        <v>1</v>
      </c>
      <c r="E428" s="5" t="s">
        <v>37</v>
      </c>
      <c r="F428" s="1" t="s">
        <v>20</v>
      </c>
      <c r="G428" s="1" t="n">
        <v>196.3</v>
      </c>
      <c r="H428" s="1" t="n">
        <v>185.8</v>
      </c>
      <c r="I428" s="1" t="n">
        <v>25.01</v>
      </c>
      <c r="J428" s="1" t="n">
        <v>1.411</v>
      </c>
      <c r="K428" s="1" t="n">
        <v>20.4</v>
      </c>
      <c r="L428" s="1" t="n">
        <v>0.06918</v>
      </c>
      <c r="M428" s="1" t="n">
        <v>-0.1403</v>
      </c>
      <c r="N428" s="1" t="n">
        <v>0.5</v>
      </c>
      <c r="O428" s="6" t="n">
        <v>2.364E-005</v>
      </c>
      <c r="P428" s="1" t="n">
        <v>0.6801</v>
      </c>
      <c r="Q428" s="1" t="n">
        <v>1.035</v>
      </c>
      <c r="R428" s="1" t="n">
        <v>3.028</v>
      </c>
    </row>
    <row r="429" customFormat="false" ht="12.8" hidden="false" customHeight="false" outlineLevel="0" collapsed="false">
      <c r="A429" s="1" t="n">
        <v>25</v>
      </c>
      <c r="B429" s="4" t="s">
        <v>35</v>
      </c>
      <c r="C429" s="4" t="str">
        <f aca="false">IF(LEFT(E429,2)="S5","Spritz","Standard")</f>
        <v>Standard</v>
      </c>
      <c r="D429" s="4" t="n">
        <v>1</v>
      </c>
      <c r="E429" s="5" t="s">
        <v>37</v>
      </c>
      <c r="F429" s="1" t="s">
        <v>20</v>
      </c>
      <c r="G429" s="1" t="n">
        <v>204.1</v>
      </c>
      <c r="H429" s="1" t="n">
        <v>193.6</v>
      </c>
      <c r="I429" s="1" t="n">
        <v>25.01</v>
      </c>
      <c r="J429" s="1" t="n">
        <v>1.234</v>
      </c>
      <c r="K429" s="1" t="n">
        <v>25.5</v>
      </c>
      <c r="L429" s="1" t="n">
        <v>0.0484</v>
      </c>
      <c r="M429" s="1" t="n">
        <v>-0.142</v>
      </c>
      <c r="N429" s="1" t="n">
        <v>0.5</v>
      </c>
      <c r="O429" s="6" t="n">
        <v>2.067E-005</v>
      </c>
      <c r="P429" s="1" t="n">
        <v>0.8499</v>
      </c>
      <c r="Q429" s="1" t="n">
        <v>0.9593</v>
      </c>
      <c r="R429" s="1" t="n">
        <v>2.817</v>
      </c>
    </row>
    <row r="430" customFormat="false" ht="12.8" hidden="false" customHeight="false" outlineLevel="0" collapsed="false">
      <c r="A430" s="1" t="n">
        <v>26</v>
      </c>
      <c r="B430" s="4" t="s">
        <v>35</v>
      </c>
      <c r="C430" s="4" t="str">
        <f aca="false">IF(LEFT(E430,2)="S5","Spritz","Standard")</f>
        <v>Standard</v>
      </c>
      <c r="D430" s="4" t="n">
        <v>1</v>
      </c>
      <c r="E430" s="5" t="s">
        <v>37</v>
      </c>
      <c r="F430" s="1" t="s">
        <v>20</v>
      </c>
      <c r="G430" s="1" t="n">
        <v>211.8</v>
      </c>
      <c r="H430" s="1" t="n">
        <v>201.3</v>
      </c>
      <c r="I430" s="1" t="n">
        <v>25.01</v>
      </c>
      <c r="J430" s="1" t="n">
        <v>1.536</v>
      </c>
      <c r="K430" s="1" t="n">
        <v>31.86</v>
      </c>
      <c r="L430" s="1" t="n">
        <v>0.04823</v>
      </c>
      <c r="M430" s="1" t="n">
        <v>-0.141</v>
      </c>
      <c r="N430" s="1" t="n">
        <v>0.5</v>
      </c>
      <c r="O430" s="6" t="n">
        <v>2.574E-005</v>
      </c>
      <c r="P430" s="1" t="n">
        <v>1.062</v>
      </c>
      <c r="Q430" s="1" t="n">
        <v>1.18</v>
      </c>
      <c r="R430" s="1" t="n">
        <v>4.118</v>
      </c>
    </row>
    <row r="431" customFormat="false" ht="12.8" hidden="false" customHeight="false" outlineLevel="0" collapsed="false">
      <c r="A431" s="1" t="n">
        <v>27</v>
      </c>
      <c r="B431" s="4" t="s">
        <v>35</v>
      </c>
      <c r="C431" s="4" t="str">
        <f aca="false">IF(LEFT(E431,2)="S5","Spritz","Standard")</f>
        <v>Standard</v>
      </c>
      <c r="D431" s="4" t="n">
        <v>1</v>
      </c>
      <c r="E431" s="5" t="s">
        <v>37</v>
      </c>
      <c r="F431" s="1" t="s">
        <v>20</v>
      </c>
      <c r="G431" s="1" t="n">
        <v>219.6</v>
      </c>
      <c r="H431" s="1" t="n">
        <v>209</v>
      </c>
      <c r="I431" s="1" t="n">
        <v>25.01</v>
      </c>
      <c r="J431" s="1" t="n">
        <v>1.668</v>
      </c>
      <c r="K431" s="1" t="n">
        <v>39.81</v>
      </c>
      <c r="L431" s="1" t="n">
        <v>0.0419</v>
      </c>
      <c r="M431" s="1" t="n">
        <v>-0.1412</v>
      </c>
      <c r="N431" s="1" t="n">
        <v>0.5</v>
      </c>
      <c r="O431" s="6" t="n">
        <v>2.795E-005</v>
      </c>
      <c r="P431" s="1" t="n">
        <v>1.327</v>
      </c>
      <c r="Q431" s="1" t="n">
        <v>1.253</v>
      </c>
      <c r="R431" s="1" t="n">
        <v>1.027</v>
      </c>
    </row>
    <row r="432" customFormat="false" ht="12.8" hidden="false" customHeight="false" outlineLevel="0" collapsed="false">
      <c r="A432" s="1" t="n">
        <v>28</v>
      </c>
      <c r="B432" s="4" t="s">
        <v>35</v>
      </c>
      <c r="C432" s="4" t="str">
        <f aca="false">IF(LEFT(E432,2)="S5","Spritz","Standard")</f>
        <v>Standard</v>
      </c>
      <c r="D432" s="4" t="n">
        <v>1</v>
      </c>
      <c r="E432" s="5" t="s">
        <v>37</v>
      </c>
      <c r="F432" s="1" t="s">
        <v>20</v>
      </c>
      <c r="G432" s="1" t="n">
        <v>227.3</v>
      </c>
      <c r="H432" s="1" t="n">
        <v>216.8</v>
      </c>
      <c r="I432" s="1" t="n">
        <v>25.01</v>
      </c>
      <c r="J432" s="1" t="n">
        <v>1.784</v>
      </c>
      <c r="K432" s="1" t="n">
        <v>49.75</v>
      </c>
      <c r="L432" s="1" t="n">
        <v>0.03585</v>
      </c>
      <c r="M432" s="1" t="n">
        <v>-0.1415</v>
      </c>
      <c r="N432" s="1" t="n">
        <v>0.5</v>
      </c>
      <c r="O432" s="6" t="n">
        <v>2.988E-005</v>
      </c>
      <c r="P432" s="1" t="n">
        <v>1.658</v>
      </c>
      <c r="Q432" s="1" t="n">
        <v>0.9124</v>
      </c>
      <c r="R432" s="1" t="n">
        <v>0.3098</v>
      </c>
    </row>
    <row r="433" customFormat="false" ht="12.8" hidden="false" customHeight="false" outlineLevel="0" collapsed="false">
      <c r="A433" s="1" t="n">
        <v>29</v>
      </c>
      <c r="B433" s="4" t="s">
        <v>35</v>
      </c>
      <c r="C433" s="4" t="str">
        <f aca="false">IF(LEFT(E433,2)="S5","Spritz","Standard")</f>
        <v>Standard</v>
      </c>
      <c r="D433" s="4" t="n">
        <v>1</v>
      </c>
      <c r="E433" s="5" t="s">
        <v>37</v>
      </c>
      <c r="F433" s="1" t="s">
        <v>20</v>
      </c>
      <c r="G433" s="1" t="n">
        <v>235.1</v>
      </c>
      <c r="H433" s="1" t="n">
        <v>224.5</v>
      </c>
      <c r="I433" s="1" t="n">
        <v>25.01</v>
      </c>
      <c r="J433" s="1" t="n">
        <v>2.098</v>
      </c>
      <c r="K433" s="1" t="n">
        <v>62.17</v>
      </c>
      <c r="L433" s="1" t="n">
        <v>0.03375</v>
      </c>
      <c r="M433" s="1" t="n">
        <v>-0.1411</v>
      </c>
      <c r="N433" s="1" t="n">
        <v>0.5</v>
      </c>
      <c r="O433" s="6" t="n">
        <v>3.515E-005</v>
      </c>
      <c r="P433" s="1" t="n">
        <v>2.072</v>
      </c>
      <c r="Q433" s="1" t="n">
        <v>0.2854</v>
      </c>
      <c r="R433" s="1" t="n">
        <v>2.541</v>
      </c>
    </row>
    <row r="434" customFormat="false" ht="12.8" hidden="false" customHeight="false" outlineLevel="0" collapsed="false">
      <c r="A434" s="1" t="n">
        <v>30</v>
      </c>
      <c r="B434" s="4" t="s">
        <v>35</v>
      </c>
      <c r="C434" s="4" t="str">
        <f aca="false">IF(LEFT(E434,2)="S5","Spritz","Standard")</f>
        <v>Standard</v>
      </c>
      <c r="D434" s="4" t="n">
        <v>1</v>
      </c>
      <c r="E434" s="5" t="s">
        <v>37</v>
      </c>
      <c r="F434" s="1" t="s">
        <v>20</v>
      </c>
      <c r="G434" s="1" t="n">
        <v>242.8</v>
      </c>
      <c r="H434" s="1" t="n">
        <v>232.3</v>
      </c>
      <c r="I434" s="1" t="n">
        <v>25.01</v>
      </c>
      <c r="J434" s="1" t="n">
        <v>1.615</v>
      </c>
      <c r="K434" s="1" t="n">
        <v>77.69</v>
      </c>
      <c r="L434" s="1" t="n">
        <v>0.02079</v>
      </c>
      <c r="M434" s="1" t="n">
        <v>-0.1428</v>
      </c>
      <c r="N434" s="1" t="n">
        <v>0.5</v>
      </c>
      <c r="O434" s="6" t="n">
        <v>2.706E-005</v>
      </c>
      <c r="P434" s="1" t="n">
        <v>2.59</v>
      </c>
      <c r="Q434" s="1" t="n">
        <v>0.9411</v>
      </c>
      <c r="R434" s="1" t="n">
        <v>2.196</v>
      </c>
    </row>
    <row r="435" customFormat="false" ht="12.8" hidden="false" customHeight="false" outlineLevel="0" collapsed="false">
      <c r="A435" s="1" t="n">
        <v>31</v>
      </c>
      <c r="B435" s="4" t="s">
        <v>35</v>
      </c>
      <c r="C435" s="4" t="str">
        <f aca="false">IF(LEFT(E435,2)="S5","Spritz","Standard")</f>
        <v>Standard</v>
      </c>
      <c r="D435" s="4" t="n">
        <v>1</v>
      </c>
      <c r="E435" s="5" t="s">
        <v>37</v>
      </c>
      <c r="F435" s="1" t="s">
        <v>20</v>
      </c>
      <c r="G435" s="1" t="n">
        <v>250.5</v>
      </c>
      <c r="H435" s="1" t="n">
        <v>240</v>
      </c>
      <c r="I435" s="1" t="n">
        <v>25.01</v>
      </c>
      <c r="J435" s="1" t="n">
        <v>1.441</v>
      </c>
      <c r="K435" s="1" t="n">
        <v>97.08</v>
      </c>
      <c r="L435" s="1" t="n">
        <v>0.01485</v>
      </c>
      <c r="M435" s="1" t="n">
        <v>-0.1425</v>
      </c>
      <c r="N435" s="1" t="n">
        <v>0.5</v>
      </c>
      <c r="O435" s="6" t="n">
        <v>2.414E-005</v>
      </c>
      <c r="P435" s="1" t="n">
        <v>3.236</v>
      </c>
      <c r="Q435" s="1" t="n">
        <v>1.078</v>
      </c>
      <c r="R435" s="1" t="n">
        <v>0.1715</v>
      </c>
    </row>
    <row r="436" customFormat="false" ht="12.8" hidden="false" customHeight="false" outlineLevel="0" collapsed="false">
      <c r="A436" s="1" t="n">
        <v>1</v>
      </c>
      <c r="B436" s="4" t="s">
        <v>35</v>
      </c>
      <c r="C436" s="4" t="str">
        <f aca="false">IF(LEFT(E436,2)="S5","Spritz","Standard")</f>
        <v>Standard</v>
      </c>
      <c r="D436" s="4" t="n">
        <v>2</v>
      </c>
      <c r="E436" s="5" t="s">
        <v>38</v>
      </c>
      <c r="F436" s="1" t="s">
        <v>20</v>
      </c>
      <c r="G436" s="1" t="n">
        <v>14.29</v>
      </c>
      <c r="H436" s="1" t="n">
        <v>7.74</v>
      </c>
      <c r="I436" s="1" t="n">
        <v>25.08</v>
      </c>
      <c r="J436" s="1" t="n">
        <v>0.2877</v>
      </c>
      <c r="K436" s="1" t="n">
        <v>0.1213</v>
      </c>
      <c r="L436" s="1" t="n">
        <v>2.373</v>
      </c>
      <c r="M436" s="1" t="n">
        <v>-0.1718</v>
      </c>
      <c r="N436" s="1" t="n">
        <v>0.5</v>
      </c>
      <c r="O436" s="6" t="n">
        <v>4.82E-006</v>
      </c>
      <c r="P436" s="6" t="n">
        <v>0.004042</v>
      </c>
      <c r="Q436" s="1" t="n">
        <v>0.8506</v>
      </c>
      <c r="R436" s="1" t="n">
        <v>0.4125</v>
      </c>
    </row>
    <row r="437" customFormat="false" ht="12.8" hidden="false" customHeight="false" outlineLevel="0" collapsed="false">
      <c r="A437" s="1" t="n">
        <v>2</v>
      </c>
      <c r="B437" s="4" t="s">
        <v>35</v>
      </c>
      <c r="C437" s="4" t="str">
        <f aca="false">IF(LEFT(E437,2)="S5","Spritz","Standard")</f>
        <v>Standard</v>
      </c>
      <c r="D437" s="4" t="n">
        <v>2</v>
      </c>
      <c r="E437" s="5" t="s">
        <v>38</v>
      </c>
      <c r="F437" s="1" t="s">
        <v>20</v>
      </c>
      <c r="G437" s="1" t="n">
        <v>22.04</v>
      </c>
      <c r="H437" s="1" t="n">
        <v>15.48</v>
      </c>
      <c r="I437" s="1" t="n">
        <v>25.08</v>
      </c>
      <c r="J437" s="1" t="n">
        <v>0.347</v>
      </c>
      <c r="K437" s="1" t="n">
        <v>0.1515</v>
      </c>
      <c r="L437" s="1" t="n">
        <v>2.29</v>
      </c>
      <c r="M437" s="1" t="n">
        <v>-0.1727</v>
      </c>
      <c r="N437" s="1" t="n">
        <v>0.5</v>
      </c>
      <c r="O437" s="6" t="n">
        <v>5.813E-006</v>
      </c>
      <c r="P437" s="6" t="n">
        <v>0.005052</v>
      </c>
      <c r="Q437" s="1" t="n">
        <v>1.016</v>
      </c>
      <c r="R437" s="1" t="n">
        <v>0.4486</v>
      </c>
    </row>
    <row r="438" customFormat="false" ht="12.8" hidden="false" customHeight="false" outlineLevel="0" collapsed="false">
      <c r="A438" s="1" t="n">
        <v>3</v>
      </c>
      <c r="B438" s="4" t="s">
        <v>35</v>
      </c>
      <c r="C438" s="4" t="str">
        <f aca="false">IF(LEFT(E438,2)="S5","Spritz","Standard")</f>
        <v>Standard</v>
      </c>
      <c r="D438" s="4" t="n">
        <v>2</v>
      </c>
      <c r="E438" s="5" t="s">
        <v>38</v>
      </c>
      <c r="F438" s="1" t="s">
        <v>20</v>
      </c>
      <c r="G438" s="1" t="n">
        <v>29.78</v>
      </c>
      <c r="H438" s="1" t="n">
        <v>23.22</v>
      </c>
      <c r="I438" s="1" t="n">
        <v>25.08</v>
      </c>
      <c r="J438" s="1" t="n">
        <v>0.3908</v>
      </c>
      <c r="K438" s="1" t="n">
        <v>0.1894</v>
      </c>
      <c r="L438" s="1" t="n">
        <v>2.064</v>
      </c>
      <c r="M438" s="1" t="n">
        <v>-0.1727</v>
      </c>
      <c r="N438" s="1" t="n">
        <v>0.5</v>
      </c>
      <c r="O438" s="6" t="n">
        <v>6.546E-006</v>
      </c>
      <c r="P438" s="6" t="n">
        <v>0.006312</v>
      </c>
      <c r="Q438" s="1" t="n">
        <v>1.07</v>
      </c>
      <c r="R438" s="1" t="n">
        <v>0.4936</v>
      </c>
    </row>
    <row r="439" customFormat="false" ht="12.8" hidden="false" customHeight="false" outlineLevel="0" collapsed="false">
      <c r="A439" s="1" t="n">
        <v>4</v>
      </c>
      <c r="B439" s="4" t="s">
        <v>35</v>
      </c>
      <c r="C439" s="4" t="str">
        <f aca="false">IF(LEFT(E439,2)="S5","Spritz","Standard")</f>
        <v>Standard</v>
      </c>
      <c r="D439" s="4" t="n">
        <v>2</v>
      </c>
      <c r="E439" s="5" t="s">
        <v>38</v>
      </c>
      <c r="F439" s="1" t="s">
        <v>20</v>
      </c>
      <c r="G439" s="1" t="n">
        <v>37.52</v>
      </c>
      <c r="H439" s="1" t="n">
        <v>30.97</v>
      </c>
      <c r="I439" s="1" t="n">
        <v>25.08</v>
      </c>
      <c r="J439" s="1" t="n">
        <v>0.2196</v>
      </c>
      <c r="K439" s="1" t="n">
        <v>0.2366</v>
      </c>
      <c r="L439" s="1" t="n">
        <v>0.9279</v>
      </c>
      <c r="M439" s="1" t="n">
        <v>-0.1741</v>
      </c>
      <c r="N439" s="1" t="n">
        <v>0.5</v>
      </c>
      <c r="O439" s="6" t="n">
        <v>3.679E-006</v>
      </c>
      <c r="P439" s="6" t="n">
        <v>0.007889</v>
      </c>
      <c r="Q439" s="1" t="n">
        <v>0.9264</v>
      </c>
      <c r="R439" s="1" t="n">
        <v>0.55</v>
      </c>
    </row>
    <row r="440" customFormat="false" ht="12.8" hidden="false" customHeight="false" outlineLevel="0" collapsed="false">
      <c r="A440" s="1" t="n">
        <v>5</v>
      </c>
      <c r="B440" s="4" t="s">
        <v>35</v>
      </c>
      <c r="C440" s="4" t="str">
        <f aca="false">IF(LEFT(E440,2)="S5","Spritz","Standard")</f>
        <v>Standard</v>
      </c>
      <c r="D440" s="4" t="n">
        <v>2</v>
      </c>
      <c r="E440" s="5" t="s">
        <v>38</v>
      </c>
      <c r="F440" s="1" t="s">
        <v>20</v>
      </c>
      <c r="G440" s="1" t="n">
        <v>45.26</v>
      </c>
      <c r="H440" s="1" t="n">
        <v>38.71</v>
      </c>
      <c r="I440" s="1" t="n">
        <v>25.08</v>
      </c>
      <c r="J440" s="1" t="n">
        <v>0.2562</v>
      </c>
      <c r="K440" s="1" t="n">
        <v>0.2957</v>
      </c>
      <c r="L440" s="1" t="n">
        <v>0.8664</v>
      </c>
      <c r="M440" s="1" t="n">
        <v>-0.1745</v>
      </c>
      <c r="N440" s="1" t="n">
        <v>0.5</v>
      </c>
      <c r="O440" s="6" t="n">
        <v>4.292E-006</v>
      </c>
      <c r="P440" s="6" t="n">
        <v>0.009857</v>
      </c>
      <c r="Q440" s="1" t="n">
        <v>0.9845</v>
      </c>
      <c r="R440" s="1" t="n">
        <v>0.6204</v>
      </c>
    </row>
    <row r="441" customFormat="false" ht="12.8" hidden="false" customHeight="false" outlineLevel="0" collapsed="false">
      <c r="A441" s="1" t="n">
        <v>6</v>
      </c>
      <c r="B441" s="4" t="s">
        <v>35</v>
      </c>
      <c r="C441" s="4" t="str">
        <f aca="false">IF(LEFT(E441,2)="S5","Spritz","Standard")</f>
        <v>Standard</v>
      </c>
      <c r="D441" s="4" t="n">
        <v>2</v>
      </c>
      <c r="E441" s="5" t="s">
        <v>38</v>
      </c>
      <c r="F441" s="1" t="s">
        <v>20</v>
      </c>
      <c r="G441" s="1" t="n">
        <v>53</v>
      </c>
      <c r="H441" s="1" t="n">
        <v>46.45</v>
      </c>
      <c r="I441" s="1" t="n">
        <v>25.07</v>
      </c>
      <c r="J441" s="1" t="n">
        <v>0.2994</v>
      </c>
      <c r="K441" s="1" t="n">
        <v>0.3695</v>
      </c>
      <c r="L441" s="1" t="n">
        <v>0.8102</v>
      </c>
      <c r="M441" s="1" t="n">
        <v>-0.1748</v>
      </c>
      <c r="N441" s="1" t="n">
        <v>0.5</v>
      </c>
      <c r="O441" s="6" t="n">
        <v>5.015E-006</v>
      </c>
      <c r="P441" s="1" t="n">
        <v>0.01232</v>
      </c>
      <c r="Q441" s="1" t="n">
        <v>0.8112</v>
      </c>
      <c r="R441" s="1" t="n">
        <v>0.7083</v>
      </c>
    </row>
    <row r="442" customFormat="false" ht="12.8" hidden="false" customHeight="false" outlineLevel="0" collapsed="false">
      <c r="A442" s="1" t="n">
        <v>7</v>
      </c>
      <c r="B442" s="4" t="s">
        <v>35</v>
      </c>
      <c r="C442" s="4" t="str">
        <f aca="false">IF(LEFT(E442,2)="S5","Spritz","Standard")</f>
        <v>Standard</v>
      </c>
      <c r="D442" s="4" t="n">
        <v>2</v>
      </c>
      <c r="E442" s="5" t="s">
        <v>38</v>
      </c>
      <c r="F442" s="1" t="s">
        <v>20</v>
      </c>
      <c r="G442" s="1" t="n">
        <v>60.75</v>
      </c>
      <c r="H442" s="1" t="n">
        <v>54.2</v>
      </c>
      <c r="I442" s="1" t="n">
        <v>25.06</v>
      </c>
      <c r="J442" s="1" t="n">
        <v>0.3225</v>
      </c>
      <c r="K442" s="1" t="n">
        <v>0.4618</v>
      </c>
      <c r="L442" s="1" t="n">
        <v>0.6984</v>
      </c>
      <c r="M442" s="1" t="n">
        <v>-0.1752</v>
      </c>
      <c r="N442" s="1" t="n">
        <v>0.5</v>
      </c>
      <c r="O442" s="6" t="n">
        <v>5.403E-006</v>
      </c>
      <c r="P442" s="1" t="n">
        <v>0.01539</v>
      </c>
      <c r="Q442" s="1" t="n">
        <v>0.9753</v>
      </c>
      <c r="R442" s="1" t="n">
        <v>0.8183</v>
      </c>
    </row>
    <row r="443" customFormat="false" ht="12.8" hidden="false" customHeight="false" outlineLevel="0" collapsed="false">
      <c r="A443" s="1" t="n">
        <v>8</v>
      </c>
      <c r="B443" s="4" t="s">
        <v>35</v>
      </c>
      <c r="C443" s="4" t="str">
        <f aca="false">IF(LEFT(E443,2)="S5","Spritz","Standard")</f>
        <v>Standard</v>
      </c>
      <c r="D443" s="4" t="n">
        <v>2</v>
      </c>
      <c r="E443" s="5" t="s">
        <v>38</v>
      </c>
      <c r="F443" s="1" t="s">
        <v>20</v>
      </c>
      <c r="G443" s="1" t="n">
        <v>68.49</v>
      </c>
      <c r="H443" s="1" t="n">
        <v>61.94</v>
      </c>
      <c r="I443" s="1" t="n">
        <v>25.06</v>
      </c>
      <c r="J443" s="1" t="n">
        <v>0.2982</v>
      </c>
      <c r="K443" s="1" t="n">
        <v>0.577</v>
      </c>
      <c r="L443" s="1" t="n">
        <v>0.5168</v>
      </c>
      <c r="M443" s="1" t="n">
        <v>-0.1757</v>
      </c>
      <c r="N443" s="1" t="n">
        <v>0.5</v>
      </c>
      <c r="O443" s="6" t="n">
        <v>4.996E-006</v>
      </c>
      <c r="P443" s="1" t="n">
        <v>0.01923</v>
      </c>
      <c r="Q443" s="1" t="n">
        <v>1.009</v>
      </c>
      <c r="R443" s="1" t="n">
        <v>0.9556</v>
      </c>
    </row>
    <row r="444" customFormat="false" ht="12.8" hidden="false" customHeight="false" outlineLevel="0" collapsed="false">
      <c r="A444" s="1" t="n">
        <v>9</v>
      </c>
      <c r="B444" s="4" t="s">
        <v>35</v>
      </c>
      <c r="C444" s="4" t="str">
        <f aca="false">IF(LEFT(E444,2)="S5","Spritz","Standard")</f>
        <v>Standard</v>
      </c>
      <c r="D444" s="4" t="n">
        <v>2</v>
      </c>
      <c r="E444" s="5" t="s">
        <v>38</v>
      </c>
      <c r="F444" s="1" t="s">
        <v>20</v>
      </c>
      <c r="G444" s="1" t="n">
        <v>76.23</v>
      </c>
      <c r="H444" s="1" t="n">
        <v>69.68</v>
      </c>
      <c r="I444" s="1" t="n">
        <v>25.05</v>
      </c>
      <c r="J444" s="1" t="n">
        <v>0.2767</v>
      </c>
      <c r="K444" s="1" t="n">
        <v>0.721</v>
      </c>
      <c r="L444" s="1" t="n">
        <v>0.3837</v>
      </c>
      <c r="M444" s="1" t="n">
        <v>-0.1759</v>
      </c>
      <c r="N444" s="1" t="n">
        <v>0.5</v>
      </c>
      <c r="O444" s="6" t="n">
        <v>4.635E-006</v>
      </c>
      <c r="P444" s="1" t="n">
        <v>0.02403</v>
      </c>
      <c r="Q444" s="1" t="n">
        <v>0.9767</v>
      </c>
      <c r="R444" s="1" t="n">
        <v>1.127</v>
      </c>
    </row>
    <row r="445" customFormat="false" ht="12.8" hidden="false" customHeight="false" outlineLevel="0" collapsed="false">
      <c r="A445" s="1" t="n">
        <v>10</v>
      </c>
      <c r="B445" s="4" t="s">
        <v>35</v>
      </c>
      <c r="C445" s="4" t="str">
        <f aca="false">IF(LEFT(E445,2)="S5","Spritz","Standard")</f>
        <v>Standard</v>
      </c>
      <c r="D445" s="4" t="n">
        <v>2</v>
      </c>
      <c r="E445" s="5" t="s">
        <v>38</v>
      </c>
      <c r="F445" s="1" t="s">
        <v>20</v>
      </c>
      <c r="G445" s="1" t="n">
        <v>83.97</v>
      </c>
      <c r="H445" s="1" t="n">
        <v>77.42</v>
      </c>
      <c r="I445" s="1" t="n">
        <v>25.05</v>
      </c>
      <c r="J445" s="1" t="n">
        <v>0.3821</v>
      </c>
      <c r="K445" s="1" t="n">
        <v>0.9011</v>
      </c>
      <c r="L445" s="1" t="n">
        <v>0.4241</v>
      </c>
      <c r="M445" s="1" t="n">
        <v>-0.1763</v>
      </c>
      <c r="N445" s="1" t="n">
        <v>0.5</v>
      </c>
      <c r="O445" s="6" t="n">
        <v>6.402E-006</v>
      </c>
      <c r="P445" s="1" t="n">
        <v>0.03004</v>
      </c>
      <c r="Q445" s="1" t="n">
        <v>1.246</v>
      </c>
      <c r="R445" s="1" t="n">
        <v>1.342</v>
      </c>
    </row>
    <row r="446" customFormat="false" ht="12.8" hidden="false" customHeight="false" outlineLevel="0" collapsed="false">
      <c r="A446" s="1" t="n">
        <v>11</v>
      </c>
      <c r="B446" s="4" t="s">
        <v>35</v>
      </c>
      <c r="C446" s="4" t="str">
        <f aca="false">IF(LEFT(E446,2)="S5","Spritz","Standard")</f>
        <v>Standard</v>
      </c>
      <c r="D446" s="4" t="n">
        <v>2</v>
      </c>
      <c r="E446" s="5" t="s">
        <v>38</v>
      </c>
      <c r="F446" s="1" t="s">
        <v>20</v>
      </c>
      <c r="G446" s="1" t="n">
        <v>91.71</v>
      </c>
      <c r="H446" s="1" t="n">
        <v>85.16</v>
      </c>
      <c r="I446" s="1" t="n">
        <v>25.05</v>
      </c>
      <c r="J446" s="1" t="n">
        <v>0.3842</v>
      </c>
      <c r="K446" s="1" t="n">
        <v>1.126</v>
      </c>
      <c r="L446" s="1" t="n">
        <v>0.3412</v>
      </c>
      <c r="M446" s="1" t="n">
        <v>-0.1764</v>
      </c>
      <c r="N446" s="1" t="n">
        <v>0.5</v>
      </c>
      <c r="O446" s="6" t="n">
        <v>6.436E-006</v>
      </c>
      <c r="P446" s="1" t="n">
        <v>0.03753</v>
      </c>
      <c r="Q446" s="1" t="n">
        <v>1.487</v>
      </c>
      <c r="R446" s="1" t="n">
        <v>1.61</v>
      </c>
    </row>
    <row r="447" customFormat="false" ht="12.8" hidden="false" customHeight="false" outlineLevel="0" collapsed="false">
      <c r="A447" s="1" t="n">
        <v>12</v>
      </c>
      <c r="B447" s="4" t="s">
        <v>35</v>
      </c>
      <c r="C447" s="4" t="str">
        <f aca="false">IF(LEFT(E447,2)="S5","Spritz","Standard")</f>
        <v>Standard</v>
      </c>
      <c r="D447" s="4" t="n">
        <v>2</v>
      </c>
      <c r="E447" s="5" t="s">
        <v>38</v>
      </c>
      <c r="F447" s="1" t="s">
        <v>20</v>
      </c>
      <c r="G447" s="1" t="n">
        <v>99.46</v>
      </c>
      <c r="H447" s="1" t="n">
        <v>92.91</v>
      </c>
      <c r="I447" s="1" t="n">
        <v>25.04</v>
      </c>
      <c r="J447" s="1" t="n">
        <v>0.3752</v>
      </c>
      <c r="K447" s="1" t="n">
        <v>1.407</v>
      </c>
      <c r="L447" s="1" t="n">
        <v>0.2666</v>
      </c>
      <c r="M447" s="1" t="n">
        <v>-0.1755</v>
      </c>
      <c r="N447" s="1" t="n">
        <v>0.5</v>
      </c>
      <c r="O447" s="6" t="n">
        <v>6.286E-006</v>
      </c>
      <c r="P447" s="1" t="n">
        <v>0.04691</v>
      </c>
      <c r="Q447" s="1" t="n">
        <v>1.416</v>
      </c>
      <c r="R447" s="1" t="n">
        <v>1.945</v>
      </c>
    </row>
    <row r="448" customFormat="false" ht="12.8" hidden="false" customHeight="false" outlineLevel="0" collapsed="false">
      <c r="A448" s="1" t="n">
        <v>13</v>
      </c>
      <c r="B448" s="4" t="s">
        <v>35</v>
      </c>
      <c r="C448" s="4" t="str">
        <f aca="false">IF(LEFT(E448,2)="S5","Spritz","Standard")</f>
        <v>Standard</v>
      </c>
      <c r="D448" s="4" t="n">
        <v>2</v>
      </c>
      <c r="E448" s="5" t="s">
        <v>38</v>
      </c>
      <c r="F448" s="1" t="s">
        <v>20</v>
      </c>
      <c r="G448" s="1" t="n">
        <v>107.2</v>
      </c>
      <c r="H448" s="1" t="n">
        <v>100.6</v>
      </c>
      <c r="I448" s="1" t="n">
        <v>25.04</v>
      </c>
      <c r="J448" s="1" t="n">
        <v>0.3303</v>
      </c>
      <c r="K448" s="1" t="n">
        <v>1.758</v>
      </c>
      <c r="L448" s="1" t="n">
        <v>0.1879</v>
      </c>
      <c r="M448" s="1" t="n">
        <v>-0.176</v>
      </c>
      <c r="N448" s="1" t="n">
        <v>0.5</v>
      </c>
      <c r="O448" s="6" t="n">
        <v>5.534E-006</v>
      </c>
      <c r="P448" s="1" t="n">
        <v>0.05861</v>
      </c>
      <c r="Q448" s="1" t="n">
        <v>0.8398</v>
      </c>
      <c r="R448" s="1" t="n">
        <v>2.364</v>
      </c>
    </row>
    <row r="449" customFormat="false" ht="12.8" hidden="false" customHeight="false" outlineLevel="0" collapsed="false">
      <c r="A449" s="1" t="n">
        <v>14</v>
      </c>
      <c r="B449" s="4" t="s">
        <v>35</v>
      </c>
      <c r="C449" s="4" t="str">
        <f aca="false">IF(LEFT(E449,2)="S5","Spritz","Standard")</f>
        <v>Standard</v>
      </c>
      <c r="D449" s="4" t="n">
        <v>2</v>
      </c>
      <c r="E449" s="5" t="s">
        <v>38</v>
      </c>
      <c r="F449" s="1" t="s">
        <v>20</v>
      </c>
      <c r="G449" s="1" t="n">
        <v>114.9</v>
      </c>
      <c r="H449" s="1" t="n">
        <v>108.4</v>
      </c>
      <c r="I449" s="1" t="n">
        <v>25.03</v>
      </c>
      <c r="J449" s="1" t="n">
        <v>0.5421</v>
      </c>
      <c r="K449" s="1" t="n">
        <v>2.197</v>
      </c>
      <c r="L449" s="1" t="n">
        <v>0.2467</v>
      </c>
      <c r="M449" s="1" t="n">
        <v>-0.1757</v>
      </c>
      <c r="N449" s="1" t="n">
        <v>0.5</v>
      </c>
      <c r="O449" s="6" t="n">
        <v>9.082E-006</v>
      </c>
      <c r="P449" s="1" t="n">
        <v>0.07324</v>
      </c>
      <c r="Q449" s="1" t="n">
        <v>0.8594</v>
      </c>
      <c r="R449" s="1" t="n">
        <v>2.887</v>
      </c>
    </row>
    <row r="450" customFormat="false" ht="12.8" hidden="false" customHeight="false" outlineLevel="0" collapsed="false">
      <c r="A450" s="1" t="n">
        <v>15</v>
      </c>
      <c r="B450" s="4" t="s">
        <v>35</v>
      </c>
      <c r="C450" s="4" t="str">
        <f aca="false">IF(LEFT(E450,2)="S5","Spritz","Standard")</f>
        <v>Standard</v>
      </c>
      <c r="D450" s="4" t="n">
        <v>2</v>
      </c>
      <c r="E450" s="5" t="s">
        <v>38</v>
      </c>
      <c r="F450" s="1" t="s">
        <v>20</v>
      </c>
      <c r="G450" s="1" t="n">
        <v>122.7</v>
      </c>
      <c r="H450" s="1" t="n">
        <v>116.1</v>
      </c>
      <c r="I450" s="1" t="n">
        <v>25.03</v>
      </c>
      <c r="J450" s="1" t="n">
        <v>0.5296</v>
      </c>
      <c r="K450" s="1" t="n">
        <v>2.746</v>
      </c>
      <c r="L450" s="1" t="n">
        <v>0.1929</v>
      </c>
      <c r="M450" s="1" t="n">
        <v>-0.1765</v>
      </c>
      <c r="N450" s="1" t="n">
        <v>0.5</v>
      </c>
      <c r="O450" s="6" t="n">
        <v>8.873E-006</v>
      </c>
      <c r="P450" s="1" t="n">
        <v>0.09153</v>
      </c>
      <c r="Q450" s="1" t="n">
        <v>0.668</v>
      </c>
      <c r="R450" s="1" t="n">
        <v>3.54</v>
      </c>
    </row>
    <row r="451" customFormat="false" ht="12.8" hidden="false" customHeight="false" outlineLevel="0" collapsed="false">
      <c r="A451" s="1" t="n">
        <v>16</v>
      </c>
      <c r="B451" s="4" t="s">
        <v>35</v>
      </c>
      <c r="C451" s="4" t="str">
        <f aca="false">IF(LEFT(E451,2)="S5","Spritz","Standard")</f>
        <v>Standard</v>
      </c>
      <c r="D451" s="4" t="n">
        <v>2</v>
      </c>
      <c r="E451" s="5" t="s">
        <v>38</v>
      </c>
      <c r="F451" s="1" t="s">
        <v>20</v>
      </c>
      <c r="G451" s="1" t="n">
        <v>130.4</v>
      </c>
      <c r="H451" s="1" t="n">
        <v>123.9</v>
      </c>
      <c r="I451" s="1" t="n">
        <v>25.03</v>
      </c>
      <c r="J451" s="1" t="n">
        <v>0.809</v>
      </c>
      <c r="K451" s="1" t="n">
        <v>3.431</v>
      </c>
      <c r="L451" s="1" t="n">
        <v>0.2358</v>
      </c>
      <c r="M451" s="1" t="n">
        <v>-0.1773</v>
      </c>
      <c r="N451" s="1" t="n">
        <v>0.5</v>
      </c>
      <c r="O451" s="6" t="n">
        <v>1.355E-005</v>
      </c>
      <c r="P451" s="1" t="n">
        <v>0.1144</v>
      </c>
      <c r="Q451" s="1" t="n">
        <v>1.085</v>
      </c>
      <c r="R451" s="1" t="n">
        <v>4.357</v>
      </c>
    </row>
    <row r="452" customFormat="false" ht="12.8" hidden="false" customHeight="false" outlineLevel="0" collapsed="false">
      <c r="A452" s="1" t="n">
        <v>17</v>
      </c>
      <c r="B452" s="4" t="s">
        <v>35</v>
      </c>
      <c r="C452" s="4" t="str">
        <f aca="false">IF(LEFT(E452,2)="S5","Spritz","Standard")</f>
        <v>Standard</v>
      </c>
      <c r="D452" s="4" t="n">
        <v>2</v>
      </c>
      <c r="E452" s="5" t="s">
        <v>38</v>
      </c>
      <c r="F452" s="1" t="s">
        <v>20</v>
      </c>
      <c r="G452" s="1" t="n">
        <v>138.2</v>
      </c>
      <c r="H452" s="1" t="n">
        <v>131.6</v>
      </c>
      <c r="I452" s="1" t="n">
        <v>25.03</v>
      </c>
      <c r="J452" s="1" t="n">
        <v>0.7032</v>
      </c>
      <c r="K452" s="1" t="n">
        <v>4.288</v>
      </c>
      <c r="L452" s="1" t="n">
        <v>0.164</v>
      </c>
      <c r="M452" s="1" t="n">
        <v>-0.177</v>
      </c>
      <c r="N452" s="1" t="n">
        <v>0.5</v>
      </c>
      <c r="O452" s="6" t="n">
        <v>1.178E-005</v>
      </c>
      <c r="P452" s="1" t="n">
        <v>0.1429</v>
      </c>
      <c r="Q452" s="1" t="n">
        <v>1.231</v>
      </c>
      <c r="R452" s="1" t="n">
        <v>5.378</v>
      </c>
    </row>
    <row r="453" customFormat="false" ht="12.8" hidden="false" customHeight="false" outlineLevel="0" collapsed="false">
      <c r="A453" s="1" t="n">
        <v>18</v>
      </c>
      <c r="B453" s="4" t="s">
        <v>35</v>
      </c>
      <c r="C453" s="4" t="str">
        <f aca="false">IF(LEFT(E453,2)="S5","Spritz","Standard")</f>
        <v>Standard</v>
      </c>
      <c r="D453" s="4" t="n">
        <v>2</v>
      </c>
      <c r="E453" s="5" t="s">
        <v>38</v>
      </c>
      <c r="F453" s="1" t="s">
        <v>20</v>
      </c>
      <c r="G453" s="1" t="n">
        <v>145.9</v>
      </c>
      <c r="H453" s="1" t="n">
        <v>139.4</v>
      </c>
      <c r="I453" s="1" t="n">
        <v>25.02</v>
      </c>
      <c r="J453" s="1" t="n">
        <v>0.6187</v>
      </c>
      <c r="K453" s="1" t="n">
        <v>5.358</v>
      </c>
      <c r="L453" s="1" t="n">
        <v>0.1155</v>
      </c>
      <c r="M453" s="1" t="n">
        <v>-0.1775</v>
      </c>
      <c r="N453" s="1" t="n">
        <v>0.5</v>
      </c>
      <c r="O453" s="6" t="n">
        <v>1.036E-005</v>
      </c>
      <c r="P453" s="1" t="n">
        <v>0.1786</v>
      </c>
      <c r="Q453" s="1" t="n">
        <v>1.56</v>
      </c>
      <c r="R453" s="1" t="n">
        <v>0.3705</v>
      </c>
    </row>
    <row r="454" customFormat="false" ht="12.8" hidden="false" customHeight="false" outlineLevel="0" collapsed="false">
      <c r="A454" s="1" t="n">
        <v>19</v>
      </c>
      <c r="B454" s="4" t="s">
        <v>35</v>
      </c>
      <c r="C454" s="4" t="str">
        <f aca="false">IF(LEFT(E454,2)="S5","Spritz","Standard")</f>
        <v>Standard</v>
      </c>
      <c r="D454" s="4" t="n">
        <v>2</v>
      </c>
      <c r="E454" s="5" t="s">
        <v>38</v>
      </c>
      <c r="F454" s="1" t="s">
        <v>20</v>
      </c>
      <c r="G454" s="1" t="n">
        <v>153.6</v>
      </c>
      <c r="H454" s="1" t="n">
        <v>147.1</v>
      </c>
      <c r="I454" s="1" t="n">
        <v>25.02</v>
      </c>
      <c r="J454" s="1" t="n">
        <v>0.6936</v>
      </c>
      <c r="K454" s="1" t="n">
        <v>6.695</v>
      </c>
      <c r="L454" s="1" t="n">
        <v>0.1036</v>
      </c>
      <c r="M454" s="1" t="n">
        <v>-0.1773</v>
      </c>
      <c r="N454" s="1" t="n">
        <v>0.5</v>
      </c>
      <c r="O454" s="6" t="n">
        <v>1.162E-005</v>
      </c>
      <c r="P454" s="1" t="n">
        <v>0.2232</v>
      </c>
      <c r="Q454" s="1" t="n">
        <v>1.11</v>
      </c>
      <c r="R454" s="1" t="n">
        <v>1.964</v>
      </c>
    </row>
    <row r="455" customFormat="false" ht="12.8" hidden="false" customHeight="false" outlineLevel="0" collapsed="false">
      <c r="A455" s="1" t="n">
        <v>20</v>
      </c>
      <c r="B455" s="4" t="s">
        <v>35</v>
      </c>
      <c r="C455" s="4" t="str">
        <f aca="false">IF(LEFT(E455,2)="S5","Spritz","Standard")</f>
        <v>Standard</v>
      </c>
      <c r="D455" s="4" t="n">
        <v>2</v>
      </c>
      <c r="E455" s="5" t="s">
        <v>38</v>
      </c>
      <c r="F455" s="1" t="s">
        <v>20</v>
      </c>
      <c r="G455" s="1" t="n">
        <v>161.4</v>
      </c>
      <c r="H455" s="1" t="n">
        <v>154.8</v>
      </c>
      <c r="I455" s="1" t="n">
        <v>25.02</v>
      </c>
      <c r="J455" s="1" t="n">
        <v>0.5707</v>
      </c>
      <c r="K455" s="1" t="n">
        <v>8.367</v>
      </c>
      <c r="L455" s="1" t="n">
        <v>0.06821</v>
      </c>
      <c r="M455" s="1" t="n">
        <v>-0.1788</v>
      </c>
      <c r="N455" s="1" t="n">
        <v>0.5</v>
      </c>
      <c r="O455" s="6" t="n">
        <v>9.56E-006</v>
      </c>
      <c r="P455" s="1" t="n">
        <v>0.2789</v>
      </c>
      <c r="Q455" s="1" t="n">
        <v>1.325</v>
      </c>
      <c r="R455" s="1" t="n">
        <v>3.957</v>
      </c>
    </row>
    <row r="456" customFormat="false" ht="12.8" hidden="false" customHeight="false" outlineLevel="0" collapsed="false">
      <c r="A456" s="1" t="n">
        <v>21</v>
      </c>
      <c r="B456" s="4" t="s">
        <v>35</v>
      </c>
      <c r="C456" s="4" t="str">
        <f aca="false">IF(LEFT(E456,2)="S5","Spritz","Standard")</f>
        <v>Standard</v>
      </c>
      <c r="D456" s="4" t="n">
        <v>2</v>
      </c>
      <c r="E456" s="5" t="s">
        <v>38</v>
      </c>
      <c r="F456" s="1" t="s">
        <v>20</v>
      </c>
      <c r="G456" s="1" t="n">
        <v>169.1</v>
      </c>
      <c r="H456" s="1" t="n">
        <v>162.6</v>
      </c>
      <c r="I456" s="1" t="n">
        <v>25.02</v>
      </c>
      <c r="J456" s="1" t="n">
        <v>0.5465</v>
      </c>
      <c r="K456" s="1" t="n">
        <v>10.45</v>
      </c>
      <c r="L456" s="1" t="n">
        <v>0.05227</v>
      </c>
      <c r="M456" s="1" t="n">
        <v>-0.1773</v>
      </c>
      <c r="N456" s="1" t="n">
        <v>0.5</v>
      </c>
      <c r="O456" s="6" t="n">
        <v>9.155E-006</v>
      </c>
      <c r="P456" s="1" t="n">
        <v>0.3485</v>
      </c>
      <c r="Q456" s="1" t="n">
        <v>1.427</v>
      </c>
      <c r="R456" s="1" t="n">
        <v>0.1623</v>
      </c>
    </row>
    <row r="457" customFormat="false" ht="12.8" hidden="false" customHeight="false" outlineLevel="0" collapsed="false">
      <c r="A457" s="1" t="n">
        <v>22</v>
      </c>
      <c r="B457" s="4" t="s">
        <v>35</v>
      </c>
      <c r="C457" s="4" t="str">
        <f aca="false">IF(LEFT(E457,2)="S5","Spritz","Standard")</f>
        <v>Standard</v>
      </c>
      <c r="D457" s="4" t="n">
        <v>2</v>
      </c>
      <c r="E457" s="5" t="s">
        <v>38</v>
      </c>
      <c r="F457" s="1" t="s">
        <v>20</v>
      </c>
      <c r="G457" s="1" t="n">
        <v>176.9</v>
      </c>
      <c r="H457" s="1" t="n">
        <v>170.3</v>
      </c>
      <c r="I457" s="1" t="n">
        <v>25.02</v>
      </c>
      <c r="J457" s="1" t="n">
        <v>0.9685</v>
      </c>
      <c r="K457" s="1" t="n">
        <v>13.07</v>
      </c>
      <c r="L457" s="1" t="n">
        <v>0.07412</v>
      </c>
      <c r="M457" s="1" t="n">
        <v>-0.1741</v>
      </c>
      <c r="N457" s="1" t="n">
        <v>0.5</v>
      </c>
      <c r="O457" s="6" t="n">
        <v>1.622E-005</v>
      </c>
      <c r="P457" s="1" t="n">
        <v>0.4356</v>
      </c>
      <c r="Q457" s="1" t="n">
        <v>0.7057</v>
      </c>
      <c r="R457" s="1" t="n">
        <v>3.274</v>
      </c>
    </row>
    <row r="458" customFormat="false" ht="12.8" hidden="false" customHeight="false" outlineLevel="0" collapsed="false">
      <c r="A458" s="1" t="n">
        <v>23</v>
      </c>
      <c r="B458" s="4" t="s">
        <v>35</v>
      </c>
      <c r="C458" s="4" t="str">
        <f aca="false">IF(LEFT(E458,2)="S5","Spritz","Standard")</f>
        <v>Standard</v>
      </c>
      <c r="D458" s="4" t="n">
        <v>2</v>
      </c>
      <c r="E458" s="5" t="s">
        <v>38</v>
      </c>
      <c r="F458" s="1" t="s">
        <v>20</v>
      </c>
      <c r="G458" s="1" t="n">
        <v>184.6</v>
      </c>
      <c r="H458" s="1" t="n">
        <v>178.1</v>
      </c>
      <c r="I458" s="1" t="n">
        <v>25.02</v>
      </c>
      <c r="J458" s="1" t="n">
        <v>0.6405</v>
      </c>
      <c r="K458" s="1" t="n">
        <v>16.33</v>
      </c>
      <c r="L458" s="1" t="n">
        <v>0.03923</v>
      </c>
      <c r="M458" s="1" t="n">
        <v>-0.1777</v>
      </c>
      <c r="N458" s="1" t="n">
        <v>0.5</v>
      </c>
      <c r="O458" s="6" t="n">
        <v>1.073E-005</v>
      </c>
      <c r="P458" s="1" t="n">
        <v>0.5442</v>
      </c>
      <c r="Q458" s="1" t="n">
        <v>1.085</v>
      </c>
      <c r="R458" s="1" t="n">
        <v>0.8772</v>
      </c>
    </row>
    <row r="459" customFormat="false" ht="12.8" hidden="false" customHeight="false" outlineLevel="0" collapsed="false">
      <c r="A459" s="1" t="n">
        <v>24</v>
      </c>
      <c r="B459" s="4" t="s">
        <v>35</v>
      </c>
      <c r="C459" s="4" t="str">
        <f aca="false">IF(LEFT(E459,2)="S5","Spritz","Standard")</f>
        <v>Standard</v>
      </c>
      <c r="D459" s="4" t="n">
        <v>2</v>
      </c>
      <c r="E459" s="5" t="s">
        <v>38</v>
      </c>
      <c r="F459" s="1" t="s">
        <v>20</v>
      </c>
      <c r="G459" s="1" t="n">
        <v>192.4</v>
      </c>
      <c r="H459" s="1" t="n">
        <v>185.8</v>
      </c>
      <c r="I459" s="1" t="n">
        <v>25.01</v>
      </c>
      <c r="J459" s="1" t="n">
        <v>0.6754</v>
      </c>
      <c r="K459" s="1" t="n">
        <v>20.4</v>
      </c>
      <c r="L459" s="1" t="n">
        <v>0.03311</v>
      </c>
      <c r="M459" s="1" t="n">
        <v>-0.1782</v>
      </c>
      <c r="N459" s="1" t="n">
        <v>0.5</v>
      </c>
      <c r="O459" s="6" t="n">
        <v>1.131E-005</v>
      </c>
      <c r="P459" s="1" t="n">
        <v>0.6801</v>
      </c>
      <c r="Q459" s="1" t="n">
        <v>1.278</v>
      </c>
      <c r="R459" s="1" t="n">
        <v>5.733</v>
      </c>
    </row>
    <row r="460" customFormat="false" ht="12.8" hidden="false" customHeight="false" outlineLevel="0" collapsed="false">
      <c r="A460" s="1" t="n">
        <v>25</v>
      </c>
      <c r="B460" s="4" t="s">
        <v>35</v>
      </c>
      <c r="C460" s="4" t="str">
        <f aca="false">IF(LEFT(E460,2)="S5","Spritz","Standard")</f>
        <v>Standard</v>
      </c>
      <c r="D460" s="4" t="n">
        <v>2</v>
      </c>
      <c r="E460" s="5" t="s">
        <v>38</v>
      </c>
      <c r="F460" s="1" t="s">
        <v>20</v>
      </c>
      <c r="G460" s="1" t="n">
        <v>200.1</v>
      </c>
      <c r="H460" s="1" t="n">
        <v>193.6</v>
      </c>
      <c r="I460" s="1" t="n">
        <v>25.01</v>
      </c>
      <c r="J460" s="1" t="n">
        <v>0.6815</v>
      </c>
      <c r="K460" s="1" t="n">
        <v>25.5</v>
      </c>
      <c r="L460" s="1" t="n">
        <v>0.02673</v>
      </c>
      <c r="M460" s="1" t="n">
        <v>-0.1774</v>
      </c>
      <c r="N460" s="1" t="n">
        <v>0.5</v>
      </c>
      <c r="O460" s="6" t="n">
        <v>1.142E-005</v>
      </c>
      <c r="P460" s="1" t="n">
        <v>0.8499</v>
      </c>
      <c r="Q460" s="1" t="n">
        <v>1.377</v>
      </c>
      <c r="R460" s="1" t="n">
        <v>5.522</v>
      </c>
    </row>
    <row r="461" customFormat="false" ht="12.8" hidden="false" customHeight="false" outlineLevel="0" collapsed="false">
      <c r="A461" s="1" t="n">
        <v>26</v>
      </c>
      <c r="B461" s="4" t="s">
        <v>35</v>
      </c>
      <c r="C461" s="4" t="str">
        <f aca="false">IF(LEFT(E461,2)="S5","Spritz","Standard")</f>
        <v>Standard</v>
      </c>
      <c r="D461" s="4" t="n">
        <v>2</v>
      </c>
      <c r="E461" s="5" t="s">
        <v>38</v>
      </c>
      <c r="F461" s="1" t="s">
        <v>20</v>
      </c>
      <c r="G461" s="1" t="n">
        <v>207.8</v>
      </c>
      <c r="H461" s="1" t="n">
        <v>201.3</v>
      </c>
      <c r="I461" s="1" t="n">
        <v>25.01</v>
      </c>
      <c r="J461" s="1" t="n">
        <v>0.6953</v>
      </c>
      <c r="K461" s="1" t="n">
        <v>31.86</v>
      </c>
      <c r="L461" s="1" t="n">
        <v>0.02182</v>
      </c>
      <c r="M461" s="1" t="n">
        <v>-0.1758</v>
      </c>
      <c r="N461" s="1" t="n">
        <v>0.5</v>
      </c>
      <c r="O461" s="6" t="n">
        <v>1.165E-005</v>
      </c>
      <c r="P461" s="1" t="n">
        <v>1.062</v>
      </c>
      <c r="Q461" s="1" t="n">
        <v>0.8785</v>
      </c>
      <c r="R461" s="1" t="n">
        <v>0.5396</v>
      </c>
    </row>
    <row r="462" customFormat="false" ht="12.8" hidden="false" customHeight="false" outlineLevel="0" collapsed="false">
      <c r="A462" s="1" t="n">
        <v>27</v>
      </c>
      <c r="B462" s="4" t="s">
        <v>35</v>
      </c>
      <c r="C462" s="4" t="str">
        <f aca="false">IF(LEFT(E462,2)="S5","Spritz","Standard")</f>
        <v>Standard</v>
      </c>
      <c r="D462" s="4" t="n">
        <v>2</v>
      </c>
      <c r="E462" s="5" t="s">
        <v>38</v>
      </c>
      <c r="F462" s="1" t="s">
        <v>20</v>
      </c>
      <c r="G462" s="1" t="n">
        <v>215.6</v>
      </c>
      <c r="H462" s="1" t="n">
        <v>209</v>
      </c>
      <c r="I462" s="1" t="n">
        <v>25.01</v>
      </c>
      <c r="J462" s="1" t="n">
        <v>0.745</v>
      </c>
      <c r="K462" s="1" t="n">
        <v>39.81</v>
      </c>
      <c r="L462" s="1" t="n">
        <v>0.01871</v>
      </c>
      <c r="M462" s="1" t="n">
        <v>-0.1776</v>
      </c>
      <c r="N462" s="1" t="n">
        <v>0.5</v>
      </c>
      <c r="O462" s="6" t="n">
        <v>1.248E-005</v>
      </c>
      <c r="P462" s="1" t="n">
        <v>1.327</v>
      </c>
      <c r="Q462" s="1" t="n">
        <v>1.061</v>
      </c>
      <c r="R462" s="1" t="n">
        <v>3.732</v>
      </c>
    </row>
    <row r="463" customFormat="false" ht="12.8" hidden="false" customHeight="false" outlineLevel="0" collapsed="false">
      <c r="A463" s="1" t="n">
        <v>28</v>
      </c>
      <c r="B463" s="4" t="s">
        <v>35</v>
      </c>
      <c r="C463" s="4" t="str">
        <f aca="false">IF(LEFT(E463,2)="S5","Spritz","Standard")</f>
        <v>Standard</v>
      </c>
      <c r="D463" s="4" t="n">
        <v>2</v>
      </c>
      <c r="E463" s="5" t="s">
        <v>38</v>
      </c>
      <c r="F463" s="1" t="s">
        <v>20</v>
      </c>
      <c r="G463" s="1" t="n">
        <v>223.3</v>
      </c>
      <c r="H463" s="1" t="n">
        <v>216.8</v>
      </c>
      <c r="I463" s="1" t="n">
        <v>25.01</v>
      </c>
      <c r="J463" s="1" t="n">
        <v>0.7321</v>
      </c>
      <c r="K463" s="1" t="n">
        <v>49.75</v>
      </c>
      <c r="L463" s="1" t="n">
        <v>0.01472</v>
      </c>
      <c r="M463" s="1" t="n">
        <v>-0.1769</v>
      </c>
      <c r="N463" s="1" t="n">
        <v>0.5</v>
      </c>
      <c r="O463" s="6" t="n">
        <v>1.227E-005</v>
      </c>
      <c r="P463" s="1" t="n">
        <v>1.658</v>
      </c>
      <c r="Q463" s="1" t="n">
        <v>1.023</v>
      </c>
      <c r="R463" s="1" t="n">
        <v>3.015</v>
      </c>
    </row>
    <row r="464" customFormat="false" ht="12.8" hidden="false" customHeight="false" outlineLevel="0" collapsed="false">
      <c r="A464" s="1" t="n">
        <v>29</v>
      </c>
      <c r="B464" s="4" t="s">
        <v>35</v>
      </c>
      <c r="C464" s="4" t="str">
        <f aca="false">IF(LEFT(E464,2)="S5","Spritz","Standard")</f>
        <v>Standard</v>
      </c>
      <c r="D464" s="4" t="n">
        <v>2</v>
      </c>
      <c r="E464" s="5" t="s">
        <v>38</v>
      </c>
      <c r="F464" s="1" t="s">
        <v>20</v>
      </c>
      <c r="G464" s="1" t="n">
        <v>231.1</v>
      </c>
      <c r="H464" s="1" t="n">
        <v>224.5</v>
      </c>
      <c r="I464" s="1" t="n">
        <v>25.01</v>
      </c>
      <c r="J464" s="1" t="n">
        <v>0.7914</v>
      </c>
      <c r="K464" s="1" t="n">
        <v>62.17</v>
      </c>
      <c r="L464" s="1" t="n">
        <v>0.01273</v>
      </c>
      <c r="M464" s="1" t="n">
        <v>-0.1771</v>
      </c>
      <c r="N464" s="1" t="n">
        <v>0.5</v>
      </c>
      <c r="O464" s="6" t="n">
        <v>1.326E-005</v>
      </c>
      <c r="P464" s="1" t="n">
        <v>2.072</v>
      </c>
      <c r="Q464" s="1" t="n">
        <v>0.8144</v>
      </c>
      <c r="R464" s="1" t="n">
        <v>5.246</v>
      </c>
    </row>
    <row r="465" customFormat="false" ht="12.8" hidden="false" customHeight="false" outlineLevel="0" collapsed="false">
      <c r="A465" s="1" t="n">
        <v>30</v>
      </c>
      <c r="B465" s="4" t="s">
        <v>35</v>
      </c>
      <c r="C465" s="4" t="str">
        <f aca="false">IF(LEFT(E465,2)="S5","Spritz","Standard")</f>
        <v>Standard</v>
      </c>
      <c r="D465" s="4" t="n">
        <v>2</v>
      </c>
      <c r="E465" s="5" t="s">
        <v>38</v>
      </c>
      <c r="F465" s="1" t="s">
        <v>20</v>
      </c>
      <c r="G465" s="1" t="n">
        <v>238.8</v>
      </c>
      <c r="H465" s="1" t="n">
        <v>232.3</v>
      </c>
      <c r="I465" s="1" t="n">
        <v>25.01</v>
      </c>
      <c r="J465" s="1" t="n">
        <v>0.9922</v>
      </c>
      <c r="K465" s="1" t="n">
        <v>77.69</v>
      </c>
      <c r="L465" s="1" t="n">
        <v>0.01277</v>
      </c>
      <c r="M465" s="1" t="n">
        <v>-0.1771</v>
      </c>
      <c r="N465" s="1" t="n">
        <v>0.5</v>
      </c>
      <c r="O465" s="6" t="n">
        <v>1.662E-005</v>
      </c>
      <c r="P465" s="1" t="n">
        <v>2.59</v>
      </c>
      <c r="Q465" s="1" t="n">
        <v>1.083</v>
      </c>
      <c r="R465" s="1" t="n">
        <v>4.9</v>
      </c>
    </row>
    <row r="466" customFormat="false" ht="12.8" hidden="false" customHeight="false" outlineLevel="0" collapsed="false">
      <c r="A466" s="1" t="n">
        <v>31</v>
      </c>
      <c r="B466" s="4" t="s">
        <v>35</v>
      </c>
      <c r="C466" s="4" t="str">
        <f aca="false">IF(LEFT(E466,2)="S5","Spritz","Standard")</f>
        <v>Standard</v>
      </c>
      <c r="D466" s="4" t="n">
        <v>2</v>
      </c>
      <c r="E466" s="5" t="s">
        <v>38</v>
      </c>
      <c r="F466" s="1" t="s">
        <v>20</v>
      </c>
      <c r="G466" s="1" t="n">
        <v>246.6</v>
      </c>
      <c r="H466" s="1" t="n">
        <v>240</v>
      </c>
      <c r="I466" s="1" t="n">
        <v>25.01</v>
      </c>
      <c r="J466" s="1" t="n">
        <v>1.215</v>
      </c>
      <c r="K466" s="1" t="n">
        <v>97.08</v>
      </c>
      <c r="L466" s="1" t="n">
        <v>0.01252</v>
      </c>
      <c r="M466" s="1" t="n">
        <v>-0.1783</v>
      </c>
      <c r="N466" s="1" t="n">
        <v>0.5</v>
      </c>
      <c r="O466" s="6" t="n">
        <v>2.036E-005</v>
      </c>
      <c r="P466" s="1" t="n">
        <v>3.236</v>
      </c>
      <c r="Q466" s="1" t="n">
        <v>0.565</v>
      </c>
      <c r="R466" s="1" t="n">
        <v>2.876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4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53515625" defaultRowHeight="12.8" customHeight="false" zeroHeight="false" outlineLevelRow="0" outlineLevelCol="0"/>
  <sheetData>
    <row r="4" customFormat="false" ht="12.8" hidden="false" customHeight="false" outlineLevel="0" collapsed="false">
      <c r="D4" s="8" t="s">
        <v>39</v>
      </c>
    </row>
    <row r="7" customFormat="false" ht="24.05" hidden="false" customHeight="false" outlineLevel="0" collapsed="false">
      <c r="D7" s="9" t="s">
        <v>40</v>
      </c>
      <c r="E7" s="9" t="s">
        <v>41</v>
      </c>
      <c r="F7" s="9" t="s">
        <v>42</v>
      </c>
      <c r="G7" s="9" t="s">
        <v>43</v>
      </c>
      <c r="H7" s="9" t="s">
        <v>44</v>
      </c>
      <c r="I7" s="9" t="s">
        <v>45</v>
      </c>
      <c r="K7" s="8" t="s">
        <v>46</v>
      </c>
    </row>
    <row r="8" customFormat="false" ht="24.05" hidden="false" customHeight="false" outlineLevel="0" collapsed="false">
      <c r="D8" s="10" t="s">
        <v>47</v>
      </c>
      <c r="E8" s="10" t="s">
        <v>48</v>
      </c>
      <c r="F8" s="10" t="s">
        <v>31</v>
      </c>
      <c r="G8" s="10" t="s">
        <v>49</v>
      </c>
      <c r="H8" s="10" t="n">
        <v>0</v>
      </c>
      <c r="I8" s="10" t="s">
        <v>50</v>
      </c>
      <c r="K8" s="8" t="s">
        <v>51</v>
      </c>
    </row>
    <row r="9" customFormat="false" ht="12.8" hidden="false" customHeight="false" outlineLevel="0" collapsed="false">
      <c r="D9" s="10" t="s">
        <v>52</v>
      </c>
      <c r="E9" s="10" t="s">
        <v>53</v>
      </c>
      <c r="F9" s="10" t="s">
        <v>31</v>
      </c>
      <c r="G9" s="10" t="s">
        <v>49</v>
      </c>
      <c r="H9" s="10" t="n">
        <v>1</v>
      </c>
      <c r="I9" s="10" t="s">
        <v>54</v>
      </c>
      <c r="K9" s="8" t="s">
        <v>55</v>
      </c>
    </row>
    <row r="10" customFormat="false" ht="12.8" hidden="false" customHeight="false" outlineLevel="0" collapsed="false">
      <c r="D10" s="10" t="s">
        <v>56</v>
      </c>
      <c r="E10" s="10" t="s">
        <v>57</v>
      </c>
      <c r="F10" s="10" t="s">
        <v>31</v>
      </c>
      <c r="G10" s="10" t="s">
        <v>49</v>
      </c>
      <c r="H10" s="10" t="n">
        <v>2</v>
      </c>
      <c r="I10" s="10" t="s">
        <v>58</v>
      </c>
      <c r="K10" s="8" t="s">
        <v>59</v>
      </c>
    </row>
    <row r="11" customFormat="false" ht="24.05" hidden="false" customHeight="false" outlineLevel="0" collapsed="false">
      <c r="D11" s="10" t="s">
        <v>60</v>
      </c>
      <c r="E11" s="10" t="s">
        <v>61</v>
      </c>
      <c r="F11" s="10" t="s">
        <v>35</v>
      </c>
      <c r="G11" s="10" t="s">
        <v>49</v>
      </c>
      <c r="H11" s="10" t="n">
        <v>0</v>
      </c>
      <c r="I11" s="10" t="s">
        <v>50</v>
      </c>
    </row>
    <row r="12" customFormat="false" ht="12.8" hidden="false" customHeight="false" outlineLevel="0" collapsed="false">
      <c r="D12" s="10" t="s">
        <v>62</v>
      </c>
      <c r="E12" s="10" t="s">
        <v>63</v>
      </c>
      <c r="F12" s="10" t="s">
        <v>35</v>
      </c>
      <c r="G12" s="10" t="s">
        <v>49</v>
      </c>
      <c r="H12" s="10" t="n">
        <v>1</v>
      </c>
      <c r="I12" s="10" t="s">
        <v>54</v>
      </c>
    </row>
    <row r="13" customFormat="false" ht="12.8" hidden="false" customHeight="false" outlineLevel="0" collapsed="false">
      <c r="D13" s="10" t="s">
        <v>64</v>
      </c>
      <c r="E13" s="10" t="s">
        <v>65</v>
      </c>
      <c r="F13" s="10" t="s">
        <v>35</v>
      </c>
      <c r="G13" s="10" t="s">
        <v>49</v>
      </c>
      <c r="H13" s="10" t="n">
        <v>2</v>
      </c>
      <c r="I13" s="10" t="s">
        <v>58</v>
      </c>
    </row>
    <row r="14" customFormat="false" ht="24.05" hidden="false" customHeight="false" outlineLevel="0" collapsed="false">
      <c r="D14" s="10" t="s">
        <v>66</v>
      </c>
      <c r="E14" s="10" t="s">
        <v>67</v>
      </c>
      <c r="F14" s="10" t="s">
        <v>18</v>
      </c>
      <c r="G14" s="10" t="s">
        <v>49</v>
      </c>
      <c r="H14" s="10" t="n">
        <v>0</v>
      </c>
      <c r="I14" s="10" t="s">
        <v>50</v>
      </c>
    </row>
    <row r="15" customFormat="false" ht="12.8" hidden="false" customHeight="false" outlineLevel="0" collapsed="false">
      <c r="D15" s="10" t="s">
        <v>68</v>
      </c>
      <c r="E15" s="10" t="s">
        <v>69</v>
      </c>
      <c r="F15" s="10" t="s">
        <v>18</v>
      </c>
      <c r="G15" s="10" t="s">
        <v>49</v>
      </c>
      <c r="H15" s="10" t="n">
        <v>1</v>
      </c>
      <c r="I15" s="10" t="s">
        <v>54</v>
      </c>
    </row>
    <row r="16" customFormat="false" ht="12.8" hidden="false" customHeight="false" outlineLevel="0" collapsed="false">
      <c r="D16" s="10" t="s">
        <v>70</v>
      </c>
      <c r="E16" s="10" t="s">
        <v>71</v>
      </c>
      <c r="F16" s="10" t="s">
        <v>18</v>
      </c>
      <c r="G16" s="10" t="s">
        <v>49</v>
      </c>
      <c r="H16" s="10" t="n">
        <v>2</v>
      </c>
      <c r="I16" s="10" t="s">
        <v>58</v>
      </c>
    </row>
    <row r="17" customFormat="false" ht="24.05" hidden="false" customHeight="false" outlineLevel="0" collapsed="false">
      <c r="D17" s="10" t="s">
        <v>28</v>
      </c>
      <c r="E17" s="10" t="s">
        <v>72</v>
      </c>
      <c r="F17" s="10" t="s">
        <v>23</v>
      </c>
      <c r="G17" s="10" t="s">
        <v>49</v>
      </c>
      <c r="H17" s="10" t="n">
        <v>0</v>
      </c>
      <c r="I17" s="10" t="s">
        <v>50</v>
      </c>
    </row>
    <row r="18" customFormat="false" ht="12.8" hidden="false" customHeight="false" outlineLevel="0" collapsed="false">
      <c r="D18" s="10" t="s">
        <v>29</v>
      </c>
      <c r="E18" s="10" t="s">
        <v>73</v>
      </c>
      <c r="F18" s="10" t="s">
        <v>23</v>
      </c>
      <c r="G18" s="10" t="s">
        <v>49</v>
      </c>
      <c r="H18" s="10" t="n">
        <v>1</v>
      </c>
      <c r="I18" s="10" t="s">
        <v>54</v>
      </c>
    </row>
    <row r="19" customFormat="false" ht="12.8" hidden="false" customHeight="false" outlineLevel="0" collapsed="false">
      <c r="D19" s="10" t="s">
        <v>30</v>
      </c>
      <c r="E19" s="10" t="s">
        <v>74</v>
      </c>
      <c r="F19" s="10" t="s">
        <v>23</v>
      </c>
      <c r="G19" s="10" t="s">
        <v>49</v>
      </c>
      <c r="H19" s="10" t="n">
        <v>2</v>
      </c>
      <c r="I19" s="10" t="s">
        <v>58</v>
      </c>
    </row>
    <row r="20" customFormat="false" ht="24.05" hidden="false" customHeight="false" outlineLevel="0" collapsed="false">
      <c r="D20" s="10" t="s">
        <v>75</v>
      </c>
      <c r="E20" s="10" t="s">
        <v>76</v>
      </c>
      <c r="F20" s="10" t="s">
        <v>23</v>
      </c>
      <c r="G20" s="10" t="s">
        <v>24</v>
      </c>
      <c r="H20" s="10" t="n">
        <v>0</v>
      </c>
      <c r="I20" s="10" t="s">
        <v>77</v>
      </c>
    </row>
    <row r="21" customFormat="false" ht="24.05" hidden="false" customHeight="false" outlineLevel="0" collapsed="false">
      <c r="D21" s="10" t="s">
        <v>78</v>
      </c>
      <c r="E21" s="10" t="s">
        <v>79</v>
      </c>
      <c r="F21" s="10" t="s">
        <v>23</v>
      </c>
      <c r="G21" s="10" t="s">
        <v>24</v>
      </c>
      <c r="H21" s="10" t="n">
        <v>1</v>
      </c>
      <c r="I21" s="10" t="s">
        <v>80</v>
      </c>
    </row>
    <row r="22" customFormat="false" ht="24.05" hidden="false" customHeight="false" outlineLevel="0" collapsed="false">
      <c r="D22" s="10" t="s">
        <v>81</v>
      </c>
      <c r="E22" s="10" t="s">
        <v>82</v>
      </c>
      <c r="F22" s="10" t="s">
        <v>23</v>
      </c>
      <c r="G22" s="10" t="s">
        <v>24</v>
      </c>
      <c r="H22" s="10" t="n">
        <v>2</v>
      </c>
      <c r="I22" s="10" t="s">
        <v>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2026-06-15T00:49:35Z</dcterms:created>
  <dc:creator/>
  <dc:description/>
  <dc:language>en-US</dc:language>
  <cp:lastModifiedBy/>
  <dcterms:modified xsi:type="dcterms:W3CDTF">2026-07-08T23:32:20Z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